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776adfa39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9ec31fbd8ec14075"/>
    <x:sheet xmlns:r="http://schemas.openxmlformats.org/officeDocument/2006/relationships" name="Travaux" sheetId="2" r:id="Rdda857e7f2e3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9">
    <x:font>
      <x:sz val="11"/>
      <x:name val="Carlito"/>
    </x:font>
    <x:font>
      <x:sz val="10"/>
      <x:color rgb="FF253247"/>
      <x:name val="Arial"/>
    </x:font>
    <x:font>
      <x:b/>
      <x:sz val="16"/>
      <x:color rgb="FF4F3A73"/>
      <x:name val="Arial"/>
    </x:font>
    <x:font>
      <x:i/>
      <x:sz val="10"/>
      <x:color rgb="FF657080"/>
      <x:name val="Arial"/>
    </x:font>
    <x:font>
      <x:b/>
      <x:sz val="10"/>
      <x:color rgb="FFFFFFFF"/>
      <x:name val="Arial"/>
    </x:font>
    <x:font>
      <x:sz val="14"/>
      <x:color rgb="FF253247"/>
      <x:name val="Arial"/>
    </x:font>
    <x:font>
      <x:b/>
      <x:sz val="10"/>
      <x:color rgb="FF253247"/>
      <x:name val="Arial"/>
    </x:font>
    <x:font>
      <x:b/>
      <x:sz val="10"/>
      <x:color rgb="FF4F3A73"/>
      <x:name val="Arial"/>
    </x:font>
    <x:font>
      <x:b/>
      <x:sz val="14"/>
      <x:color rgb="FF4F3A7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F3A73"/>
      </x:patternFill>
    </x:fill>
    <x:fill>
      <x:patternFill patternType="solid">
        <x:fgColor rgb="FFFFF3D6"/>
      </x:patternFill>
    </x:fill>
    <x:fill>
      <x:patternFill patternType="solid">
        <x:fgColor rgb="FFFFF9E9"/>
      </x:patternFill>
    </x:fill>
    <x:fill>
      <x:patternFill patternType="solid">
        <x:fgColor rgb="FFF5F3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D5E2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1" fontId="4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253247"/>
      </x:font>
      <x:fill>
        <x:patternFill patternType="solid">
          <x:bgColor rgb="FFF0F1F4"/>
        </x:patternFill>
      </x:fill>
    </x:dxf>
    <x:dxf>
      <x:font>
        <x:color rgb="FF253247"/>
      </x:font>
      <x:fill>
        <x:patternFill patternType="solid">
          <x:bgColor rgb="FFECE6F5"/>
        </x:patternFill>
      </x:fill>
    </x:dxf>
    <x:dxf>
      <x:font>
        <x:color rgb="FF253247"/>
      </x:font>
      <x:fill>
        <x:patternFill patternType="solid">
          <x:bgColor rgb="FFFFF0CE"/>
        </x:patternFill>
      </x:fill>
    </x:dxf>
    <x:dxf>
      <x:font>
        <x:color rgb="FF253247"/>
      </x:font>
      <x:fill>
        <x:patternFill patternType="solid">
          <x:bgColor rgb="FFE8F0EB"/>
        </x:patternFill>
      </x:fill>
    </x:dxf>
    <x:dxf>
      <x:font>
        <x:b/>
        <x:color rgb="FF9B2420"/>
      </x:font>
      <x:fill>
        <x:patternFill patternType="solid">
          <x:bgColor rgb="FFFCE3E2"/>
        </x:patternFill>
      </x:fill>
    </x:dxf>
    <x:dxf>
      <x:font>
        <x:color rgb="FF7A4E00"/>
      </x:font>
      <x:fill>
        <x:patternFill patternType="solid">
          <x:bgColor rgb="FFFFF0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1aa2a6aae4724" /><Relationship Type="http://schemas.openxmlformats.org/officeDocument/2006/relationships/theme" Target="/xl/theme/theme1.xml" Id="Rf6c3af304dfc46e7" /><Relationship Type="http://schemas.openxmlformats.org/officeDocument/2006/relationships/sharedStrings" Target="/xl/sharedStrings.xml" Id="R9551bff3749d460f" /><Relationship Type="http://schemas.openxmlformats.org/officeDocument/2006/relationships/worksheet" Target="/xl/worksheets/sheet1.xml" Id="R9ec31fbd8ec14075" /><Relationship Type="http://schemas.openxmlformats.org/officeDocument/2006/relationships/worksheet" Target="/xl/worksheets/sheet2.xml" Id="Rdda857e7f2e346bf" /></Relationships>
</file>

<file path=xl/tables/table1.xml><?xml version="1.0" encoding="utf-8"?>
<x:table xmlns:x="http://schemas.openxmlformats.org/spreadsheetml/2006/main" id="1" name="TravauxFranchiseGuide" displayName="TravauxFranchiseGuide" ref="A7:M110" headerRowCount="1" totalsRowCount="0" totalsRowShown="0">
  <x:autoFilter ref="A7:M110"/>
  <x:tableColumns count="13">
    <x:tableColumn id="1" name="ID"/>
    <x:tableColumn id="2" name="Priorité"/>
    <x:tableColumn id="3" name="Statut"/>
    <x:tableColumn id="4" name="Domaine"/>
    <x:tableColumn id="5" name="Plateforme"/>
    <x:tableColumn id="6" name="Chantier"/>
    <x:tableColumn id="7" name="État constaté"/>
    <x:tableColumn id="8" name="Travail à réaliser"/>
    <x:tableColumn id="9" name="Critères de recette"/>
    <x:tableColumn id="10" name="Dépendances"/>
    <x:tableColumn id="11" name="Validation de cette passe"/>
    <x:tableColumn id="12" name="Suivi"/>
    <x:tableColumn id="13" name="Preuves dans le dépô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3a3b6da1f340ec" /></Relationships>
</file>

<file path=xl/worksheets/sheet1.xml><?xml version="1.0" encoding="utf-8"?>
<x:worksheet xmlns:x="http://schemas.openxmlformats.org/spreadsheetml/2006/main">
  <x:sheetPr>
    <x:tabColor rgb="FF4F3A73"/>
  </x:sheetPr>
  <x:sheetViews>
    <x:sheetView showGridLines="0" workbookViewId="0"/>
  </x:sheetViews>
  <x:sheetFormatPr defaultRowHeight="15"/>
  <x:cols>
    <x:col min="1" max="1" width="3" hidden="0" customWidth="1"/>
    <x:col min="2" max="2" width="33" hidden="0" customWidth="1"/>
    <x:col min="3" max="3" width="12" hidden="0" customWidth="1"/>
    <x:col min="4" max="4" width="12" hidden="0" customWidth="1"/>
    <x:col min="5" max="5" width="12" hidden="0" customWidth="1"/>
    <x:col min="6" max="6" width="3" hidden="0" customWidth="1"/>
    <x:col min="7" max="7" width="35" hidden="0" customWidth="1"/>
    <x:col min="8" max="8" width="14" hidden="0" customWidth="1"/>
    <x:col min="9" max="9" width="14" hidden="0" customWidth="1"/>
    <x:col min="10" max="10" width="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2"/>
      <x:c r="B2" s="3" t="str">
        <x:v>FranchiseGuide</x:v>
      </x:c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16" t="str">
        <x:v>Travaux restants — version 0.36.0</x:v>
      </x:c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 t="str">
        <x:v>Situation au</x:v>
      </x:c>
      <x:c r="C4" s="4" t="d">
        <x:v>2026-10-26T12:00:00.000Z</x:v>
      </x:c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6"/>
      <x:c r="C5" s="6"/>
      <x:c r="D5" s="6"/>
      <x:c r="E5" s="6"/>
      <x:c r="F5" s="6"/>
      <x:c r="G5" s="6"/>
      <x:c r="H5" s="6"/>
      <x:c r="I5" s="6"/>
      <x:c r="J5" s="2"/>
    </x:row>
    <x:row r="6" ht="28" customHeight="1">
      <x:c r="A6" s="2"/>
      <x:c r="B6" s="2" t="str">
        <x:v>Actions suivies</x:v>
      </x:c>
      <x:c r="C6" s="17" t="n">
        <x:f>COUNTA('Travaux'!$A$8:$A$1000)</x:f>
        <x:v>103</x:v>
      </x:c>
      <x:c r="D6" s="2"/>
      <x:c r="E6" s="2"/>
      <x:c r="F6" s="2"/>
      <x:c r="G6" s="23" t="str">
        <x:v>Priorité</x:v>
      </x:c>
      <x:c r="H6" s="23" t="str">
        <x:v>Ouverts</x:v>
      </x:c>
      <x:c r="I6" s="2"/>
      <x:c r="J6" s="2"/>
    </x:row>
    <x:row r="7" ht="23" customHeight="1">
      <x:c r="A7" s="2"/>
      <x:c r="B7" s="20" t="str">
        <x:v>Travaux ouverts</x:v>
      </x:c>
      <x:c r="C7" s="21" t="n">
        <x:f>C6-C8</x:f>
        <x:v>91</x:v>
      </x:c>
      <x:c r="D7" s="2"/>
      <x:c r="E7" s="2"/>
      <x:c r="F7" s="2"/>
      <x:c r="G7" s="2" t="str">
        <x:v>P0</x:v>
      </x:c>
      <x:c r="H7" s="17" t="n">
        <x:f>COUNTIFS('Travaux'!$B$8:$B$1000,"P0",'Travaux'!$C$8:$C$1000,"&lt;&gt;Terminé")</x:f>
        <x:v>22</x:v>
      </x:c>
      <x:c r="I7" s="2"/>
      <x:c r="J7" s="2"/>
    </x:row>
    <x:row r="8" ht="23" customHeight="1">
      <x:c r="A8" s="2"/>
      <x:c r="B8" s="2" t="str">
        <x:v>Terminés dans cette passe</x:v>
      </x:c>
      <x:c r="C8" s="17" t="n">
        <x:f>COUNTIFS('Travaux'!$C$8:$C$1000,"Terminé")</x:f>
        <x:v>12</x:v>
      </x:c>
      <x:c r="D8" s="2"/>
      <x:c r="E8" s="2"/>
      <x:c r="F8" s="2"/>
      <x:c r="G8" s="2" t="str">
        <x:v>P1</x:v>
      </x:c>
      <x:c r="H8" s="17" t="n">
        <x:f>COUNTIFS('Travaux'!$B$8:$B$1000,"P1",'Travaux'!$C$8:$C$1000,"&lt;&gt;Terminé")</x:f>
        <x:v>56</x:v>
      </x:c>
      <x:c r="I8" s="2"/>
      <x:c r="J8" s="2"/>
    </x:row>
    <x:row r="9" ht="23" customHeight="1">
      <x:c r="A9" s="2"/>
      <x:c r="B9" s="2" t="str">
        <x:v>Statut « À valider »</x:v>
      </x:c>
      <x:c r="C9" s="17" t="n">
        <x:f>COUNTIFS('Travaux'!$C$8:$C$1000,"À valider")</x:f>
        <x:v>53</x:v>
      </x:c>
      <x:c r="D9" s="2"/>
      <x:c r="E9" s="2"/>
      <x:c r="F9" s="2"/>
      <x:c r="G9" s="2" t="str">
        <x:v>P2</x:v>
      </x:c>
      <x:c r="H9" s="17" t="n">
        <x:f>COUNTIFS('Travaux'!$B$8:$B$1000,"P2",'Travaux'!$C$8:$C$1000,"&lt;&gt;Terminé")</x:f>
        <x:v>13</x:v>
      </x:c>
      <x:c r="I9" s="2"/>
      <x:c r="J9" s="2"/>
    </x:row>
    <x:row r="10" ht="23" customHeight="1">
      <x:c r="A10" s="2"/>
      <x:c r="B10" s="2"/>
      <x:c r="C10" s="2"/>
      <x:c r="D10" s="2"/>
      <x:c r="E10" s="2"/>
      <x:c r="F10" s="2"/>
      <x:c r="G10" s="2"/>
      <x:c r="H10" s="17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17"/>
      <x:c r="I11" s="2"/>
      <x:c r="J11" s="2"/>
    </x:row>
    <x:row r="12" ht="28" customHeight="1">
      <x:c r="A12" s="2"/>
      <x:c r="B12" s="23" t="str">
        <x:v>Domaine</x:v>
      </x:c>
      <x:c r="C12" s="23" t="str">
        <x:v>Ouverts</x:v>
      </x:c>
      <x:c r="D12" s="23" t="str">
        <x:v>Terminés</x:v>
      </x:c>
      <x:c r="E12" s="23" t="str">
        <x:v>Total</x:v>
      </x:c>
      <x:c r="F12" s="2"/>
      <x:c r="G12" s="23" t="str">
        <x:v>État</x:v>
      </x:c>
      <x:c r="H12" s="24" t="str">
        <x:v>Travaux</x:v>
      </x:c>
      <x:c r="I12" s="2"/>
      <x:c r="J12" s="2"/>
    </x:row>
    <x:row r="13" ht="23" customHeight="1">
      <x:c r="A13" s="2"/>
      <x:c r="B13" s="2" t="str">
        <x:v>Livraison</x:v>
      </x:c>
      <x:c r="C13" s="17" t="n">
        <x:f>COUNTIFS('Travaux'!$D$8:$D$1000,B13,'Travaux'!$C$8:$C$1000,"&lt;&gt;Terminé")</x:f>
        <x:v>5</x:v>
      </x:c>
      <x:c r="D13" s="17" t="n">
        <x:f>COUNTIFS('Travaux'!$D$8:$D$1000,B13,'Travaux'!$C$8:$C$1000,"Terminé")</x:f>
        <x:v>4</x:v>
      </x:c>
      <x:c r="E13" s="17" t="n">
        <x:f>SUM(C13:D13)</x:f>
        <x:v>9</x:v>
      </x:c>
      <x:c r="F13" s="2"/>
      <x:c r="G13" s="2" t="str">
        <x:v>À développer</x:v>
      </x:c>
      <x:c r="H13" s="17" t="n">
        <x:f>COUNTIFS('Travaux'!$C$8:$C$1000,G13)</x:f>
        <x:v>19</x:v>
      </x:c>
      <x:c r="I13" s="2"/>
      <x:c r="J13" s="2"/>
    </x:row>
    <x:row r="14" ht="23" customHeight="1">
      <x:c r="A14" s="2"/>
      <x:c r="B14" s="2" t="str">
        <x:v>Android</x:v>
      </x:c>
      <x:c r="C14" s="17" t="n">
        <x:f>COUNTIFS('Travaux'!$D$8:$D$1000,B14,'Travaux'!$C$8:$C$1000,"&lt;&gt;Terminé")</x:f>
        <x:v>15</x:v>
      </x:c>
      <x:c r="D14" s="17" t="n">
        <x:f>COUNTIFS('Travaux'!$D$8:$D$1000,B14,'Travaux'!$C$8:$C$1000,"Terminé")</x:f>
        <x:v>0</x:v>
      </x:c>
      <x:c r="E14" s="17" t="n">
        <x:f>SUM(C14:D14)</x:f>
        <x:v>15</x:v>
      </x:c>
      <x:c r="F14" s="2"/>
      <x:c r="G14" s="2" t="str">
        <x:v>Partiel</x:v>
      </x:c>
      <x:c r="H14" s="17" t="n">
        <x:f>COUNTIFS('Travaux'!$C$8:$C$1000,G14)</x:f>
        <x:v>19</x:v>
      </x:c>
      <x:c r="I14" s="2"/>
      <x:c r="J14" s="2"/>
    </x:row>
    <x:row r="15" ht="23" customHeight="1">
      <x:c r="A15" s="2"/>
      <x:c r="B15" s="2" t="str">
        <x:v>Web et PWA</x:v>
      </x:c>
      <x:c r="C15" s="17" t="n">
        <x:f>COUNTIFS('Travaux'!$D$8:$D$1000,B15,'Travaux'!$C$8:$C$1000,"&lt;&gt;Terminé")</x:f>
        <x:v>6</x:v>
      </x:c>
      <x:c r="D15" s="17" t="n">
        <x:f>COUNTIFS('Travaux'!$D$8:$D$1000,B15,'Travaux'!$C$8:$C$1000,"Terminé")</x:f>
        <x:v>0</x:v>
      </x:c>
      <x:c r="E15" s="17" t="n">
        <x:f>SUM(C15:D15)</x:f>
        <x:v>6</x:v>
      </x:c>
      <x:c r="F15" s="2"/>
      <x:c r="G15" s="2" t="str">
        <x:v>À valider</x:v>
      </x:c>
      <x:c r="H15" s="17" t="n">
        <x:f>COUNTIFS('Travaux'!$C$8:$C$1000,G15)</x:f>
        <x:v>53</x:v>
      </x:c>
      <x:c r="I15" s="2"/>
      <x:c r="J15" s="2"/>
    </x:row>
    <x:row r="16" ht="23" customHeight="1">
      <x:c r="A16" s="2"/>
      <x:c r="B16" s="2" t="str">
        <x:v>Interface</x:v>
      </x:c>
      <x:c r="C16" s="17" t="n">
        <x:f>COUNTIFS('Travaux'!$D$8:$D$1000,B16,'Travaux'!$C$8:$C$1000,"&lt;&gt;Terminé")</x:f>
        <x:v>4</x:v>
      </x:c>
      <x:c r="D16" s="17" t="n">
        <x:f>COUNTIFS('Travaux'!$D$8:$D$1000,B16,'Travaux'!$C$8:$C$1000,"Terminé")</x:f>
        <x:v>0</x:v>
      </x:c>
      <x:c r="E16" s="17" t="n">
        <x:f>SUM(C16:D16)</x:f>
        <x:v>4</x:v>
      </x:c>
      <x:c r="F16" s="2"/>
      <x:c r="G16" s="2" t="str">
        <x:v>Terminé</x:v>
      </x:c>
      <x:c r="H16" s="17" t="n">
        <x:f>COUNTIFS('Travaux'!$C$8:$C$1000,G16)</x:f>
        <x:v>12</x:v>
      </x:c>
      <x:c r="I16" s="2"/>
      <x:c r="J16" s="2"/>
    </x:row>
    <x:row r="17" ht="23" customHeight="1">
      <x:c r="A17" s="2"/>
      <x:c r="B17" s="2" t="str">
        <x:v>Trakt</x:v>
      </x:c>
      <x:c r="C17" s="17" t="n">
        <x:f>COUNTIFS('Travaux'!$D$8:$D$1000,B17,'Travaux'!$C$8:$C$1000,"&lt;&gt;Terminé")</x:f>
        <x:v>10</x:v>
      </x:c>
      <x:c r="D17" s="17" t="n">
        <x:f>COUNTIFS('Travaux'!$D$8:$D$1000,B17,'Travaux'!$C$8:$C$1000,"Terminé")</x:f>
        <x:v>4</x:v>
      </x:c>
      <x:c r="E17" s="17" t="n">
        <x:f>SUM(C17:D17)</x:f>
        <x:v>14</x:v>
      </x:c>
      <x:c r="F17" s="2"/>
      <x:c r="G17" s="2"/>
      <x:c r="H17" s="2"/>
      <x:c r="I17" s="2"/>
      <x:c r="J17" s="2"/>
    </x:row>
    <x:row r="18" ht="23" customHeight="1">
      <x:c r="A18" s="2"/>
      <x:c r="B18" s="2" t="str">
        <x:v>Données</x:v>
      </x:c>
      <x:c r="C18" s="17" t="n">
        <x:f>COUNTIFS('Travaux'!$D$8:$D$1000,B18,'Travaux'!$C$8:$C$1000,"&lt;&gt;Terminé")</x:f>
        <x:v>10</x:v>
      </x:c>
      <x:c r="D18" s="17" t="n">
        <x:f>COUNTIFS('Travaux'!$D$8:$D$1000,B18,'Travaux'!$C$8:$C$1000,"Terminé")</x:f>
        <x:v>0</x:v>
      </x:c>
      <x:c r="E18" s="17" t="n">
        <x:f>SUM(C18:D18)</x:f>
        <x:v>10</x:v>
      </x:c>
      <x:c r="F18" s="2"/>
      <x:c r="G18" s="2"/>
      <x:c r="H18" s="2"/>
      <x:c r="I18" s="2"/>
      <x:c r="J18" s="2"/>
    </x:row>
    <x:row r="19" ht="23" customHeight="1">
      <x:c r="A19" s="2"/>
      <x:c r="B19" s="2" t="str">
        <x:v>Catalogues</x:v>
      </x:c>
      <x:c r="C19" s="17" t="n">
        <x:f>COUNTIFS('Travaux'!$D$8:$D$1000,B19,'Travaux'!$C$8:$C$1000,"&lt;&gt;Terminé")</x:f>
        <x:v>10</x:v>
      </x:c>
      <x:c r="D19" s="17" t="n">
        <x:f>COUNTIFS('Travaux'!$D$8:$D$1000,B19,'Travaux'!$C$8:$C$1000,"Terminé")</x:f>
        <x:v>0</x:v>
      </x:c>
      <x:c r="E19" s="17" t="n">
        <x:f>SUM(C19:D19)</x:f>
        <x:v>10</x:v>
      </x:c>
      <x:c r="F19" s="2"/>
      <x:c r="G19" s="22" t="str">
        <x:v>Ordre de travail</x:v>
      </x:c>
      <x:c r="H19" s="2"/>
      <x:c r="I19" s="2"/>
      <x:c r="J19" s="2"/>
    </x:row>
    <x:row r="20" ht="23" customHeight="1">
      <x:c r="A20" s="2"/>
      <x:c r="B20" s="2" t="str">
        <x:v>Jeux et succès</x:v>
      </x:c>
      <x:c r="C20" s="17" t="n">
        <x:f>COUNTIFS('Travaux'!$D$8:$D$1000,B20,'Travaux'!$C$8:$C$1000,"&lt;&gt;Terminé")</x:f>
        <x:v>12</x:v>
      </x:c>
      <x:c r="D20" s="17" t="n">
        <x:f>COUNTIFS('Travaux'!$D$8:$D$1000,B20,'Travaux'!$C$8:$C$1000,"Terminé")</x:f>
        <x:v>0</x:v>
      </x:c>
      <x:c r="E20" s="17" t="n">
        <x:f>SUM(C20:D20)</x:f>
        <x:v>12</x:v>
      </x:c>
      <x:c r="F20" s="2"/>
      <x:c r="G20" s="2" t="str">
        <x:v>P0 : données et blocages d’exécution</x:v>
      </x:c>
      <x:c r="H20" s="2"/>
      <x:c r="I20" s="2"/>
      <x:c r="J20" s="2"/>
    </x:row>
    <x:row r="21" ht="23" customHeight="1">
      <x:c r="A21" s="2"/>
      <x:c r="B21" s="2" t="str">
        <x:v>Livres et franchises</x:v>
      </x:c>
      <x:c r="C21" s="17" t="n">
        <x:f>COUNTIFS('Travaux'!$D$8:$D$1000,B21,'Travaux'!$C$8:$C$1000,"&lt;&gt;Terminé")</x:f>
        <x:v>6</x:v>
      </x:c>
      <x:c r="D21" s="17" t="n">
        <x:f>COUNTIFS('Travaux'!$D$8:$D$1000,B21,'Travaux'!$C$8:$C$1000,"Terminé")</x:f>
        <x:v>0</x:v>
      </x:c>
      <x:c r="E21" s="17" t="n">
        <x:f>SUM(C21:D21)</x:f>
        <x:v>6</x:v>
      </x:c>
      <x:c r="F21" s="2"/>
      <x:c r="G21" s="2" t="str">
        <x:v>P1 : fonctions et distribution essentielles</x:v>
      </x:c>
      <x:c r="H21" s="2"/>
      <x:c r="I21" s="2"/>
      <x:c r="J21" s="2"/>
    </x:row>
    <x:row r="22" ht="23" customHeight="1">
      <x:c r="A22" s="2"/>
      <x:c r="B22" s="2" t="str">
        <x:v>Cloud</x:v>
      </x:c>
      <x:c r="C22" s="17" t="n">
        <x:f>COUNTIFS('Travaux'!$D$8:$D$1000,B22,'Travaux'!$C$8:$C$1000,"&lt;&gt;Terminé")</x:f>
        <x:v>3</x:v>
      </x:c>
      <x:c r="D22" s="17" t="n">
        <x:f>COUNTIFS('Travaux'!$D$8:$D$1000,B22,'Travaux'!$C$8:$C$1000,"Terminé")</x:f>
        <x:v>0</x:v>
      </x:c>
      <x:c r="E22" s="17" t="n">
        <x:f>SUM(C22:D22)</x:f>
        <x:v>3</x:v>
      </x:c>
      <x:c r="F22" s="2"/>
      <x:c r="G22" s="2" t="str">
        <x:v>P2 : extensions et améliorations</x:v>
      </x:c>
      <x:c r="H22" s="2"/>
      <x:c r="I22" s="2"/>
      <x:c r="J22" s="2"/>
    </x:row>
    <x:row r="23" ht="23" customHeight="1">
      <x:c r="A23" s="2"/>
      <x:c r="B23" s="2" t="str">
        <x:v>PC</x:v>
      </x:c>
      <x:c r="C23" s="17" t="n">
        <x:f>COUNTIFS('Travaux'!$D$8:$D$1000,B23,'Travaux'!$C$8:$C$1000,"&lt;&gt;Terminé")</x:f>
        <x:v>3</x:v>
      </x:c>
      <x:c r="D23" s="17" t="n">
        <x:f>COUNTIFS('Travaux'!$D$8:$D$1000,B23,'Travaux'!$C$8:$C$1000,"Terminé")</x:f>
        <x:v>0</x:v>
      </x:c>
      <x:c r="E23" s="17" t="n">
        <x:f>SUM(C23:D23)</x:f>
        <x:v>3</x:v>
      </x:c>
      <x:c r="F23" s="2"/>
      <x:c r="G23" s="2"/>
      <x:c r="H23" s="2"/>
      <x:c r="I23" s="2"/>
      <x:c r="J23" s="2"/>
    </x:row>
    <x:row r="24" ht="23" customHeight="1">
      <x:c r="A24" s="2"/>
      <x:c r="B24" s="2" t="str">
        <x:v>Sécurité</x:v>
      </x:c>
      <x:c r="C24" s="17" t="n">
        <x:f>COUNTIFS('Travaux'!$D$8:$D$1000,B24,'Travaux'!$C$8:$C$1000,"&lt;&gt;Terminé")</x:f>
        <x:v>4</x:v>
      </x:c>
      <x:c r="D24" s="17" t="n">
        <x:f>COUNTIFS('Travaux'!$D$8:$D$1000,B24,'Travaux'!$C$8:$C$1000,"Terminé")</x:f>
        <x:v>4</x:v>
      </x:c>
      <x:c r="E24" s="17" t="n">
        <x:f>SUM(C24:D24)</x:f>
        <x:v>8</x:v>
      </x:c>
      <x:c r="F24" s="2"/>
      <x:c r="G24" s="5" t="str">
        <x:v>Le détail et les preuves sont dans Travaux.</x:v>
      </x:c>
      <x:c r="H24" s="2"/>
      <x:c r="I24" s="2"/>
      <x:c r="J24" s="2"/>
    </x:row>
    <x:row r="25" ht="23" customHeight="1">
      <x:c r="A25" s="2"/>
      <x:c r="B25" s="2" t="str">
        <x:v>Qualité</x:v>
      </x:c>
      <x:c r="C25" s="17" t="n">
        <x:f>COUNTIFS('Travaux'!$D$8:$D$1000,B25,'Travaux'!$C$8:$C$1000,"&lt;&gt;Terminé")</x:f>
        <x:v>3</x:v>
      </x:c>
      <x:c r="D25" s="17" t="n">
        <x:f>COUNTIFS('Travaux'!$D$8:$D$1000,B25,'Travaux'!$C$8:$C$1000,"Terminé")</x:f>
        <x:v>0</x:v>
      </x:c>
      <x:c r="E25" s="17" t="n">
        <x:f>SUM(C25:D25)</x:f>
        <x:v>3</x:v>
      </x:c>
      <x:c r="F25" s="2"/>
      <x:c r="G25" s="5" t="str">
        <x:v>Les compteurs suivent les statuts modifiés.</x:v>
      </x:c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5" t="str">
        <x:v>Priorités de sortie</x:v>
      </x:c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"/>
      <x:c r="B29" s="2" t="str">
        <x:v>1. Qualifier Android sur appareil, les comptes réels et les parcours sur les plateformes cibles.</x:v>
      </x:c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2"/>
      <x:c r="B30" s="2" t="str">
        <x:v>2. Fermer les risques de perte de données et de doublons de synchronisation.</x:v>
      </x:c>
      <x:c r="C30" s="2"/>
      <x:c r="D30" s="2"/>
      <x:c r="E30" s="2"/>
      <x:c r="F30" s="2"/>
      <x:c r="G30" s="2"/>
      <x:c r="H30" s="2"/>
      <x:c r="I30" s="2"/>
      <x:c r="J30" s="2"/>
    </x:row>
    <x:row r="31" ht="23" customHeight="1">
      <x:c r="A31" s="2"/>
      <x:c r="B31" s="2" t="str">
        <x:v>3. Finaliser sauvegarde externe, distribution et synchronisation générale.</x:v>
      </x:c>
      <x:c r="C31" s="2"/>
      <x:c r="D31" s="2"/>
      <x:c r="E31" s="2"/>
      <x:c r="F31" s="2"/>
      <x:c r="G31" s="2"/>
      <x:c r="H31" s="2"/>
      <x:c r="I31" s="2"/>
      <x:c r="J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3" customHeight="1">
      <x:c r="A34" s="2"/>
      <x:c r="B34" s="5" t="str">
        <x:v>Ce registre suit des actions. Il ne mesure pas un pourcentage global d’achèvement du produit.</x:v>
      </x:c>
      <x:c r="C34" s="2"/>
      <x:c r="D34" s="2"/>
      <x:c r="E34" s="2"/>
      <x:c r="F34" s="2"/>
      <x:c r="G34" s="2"/>
      <x:c r="H34" s="2"/>
      <x:c r="I34" s="2"/>
      <x:c r="J34" s="2"/>
    </x:row>
    <x:row r="35" ht="23" customHeight="1">
      <x:c r="A35" s="2"/>
      <x:c r="B35" s="5" t="str">
        <x:v>Base : archive Drive V0.35 récupérable. Les résultats historiques restent distincts de cette passe.</x:v>
      </x:c>
      <x:c r="C35" s="2"/>
      <x:c r="D35" s="2"/>
      <x:c r="E35" s="2"/>
      <x:c r="F35" s="2"/>
      <x:c r="G35" s="2"/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E91B3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3" hidden="0" customWidth="1"/>
    <x:col min="5" max="5" width="17" hidden="0" customWidth="1"/>
    <x:col min="6" max="6" width="43" hidden="0" customWidth="1"/>
    <x:col min="7" max="7" width="62" hidden="0" customWidth="1"/>
    <x:col min="8" max="8" width="64" hidden="0" customWidth="1"/>
    <x:col min="9" max="9" width="64" hidden="0" customWidth="1"/>
    <x:col min="10" max="10" width="28" hidden="0" customWidth="1"/>
    <x:col min="11" max="11" width="58" hidden="0" customWidth="1"/>
    <x:col min="12" max="12" width="38" hidden="0" customWidth="1"/>
    <x:col min="13" max="13" width="6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FranchiseGuide — travaux restants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Situation au</x:v>
      </x:c>
      <x:c r="B3" s="4" t="d">
        <x:v>2026-10-26T12:00:00.000Z</x:v>
      </x:c>
      <x:c r="C3" s="2"/>
      <x:c r="D3" s="2" t="str">
        <x:v>Version 0.36.0</x:v>
      </x:c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5" t="str">
        <x:v>Statut et Suivi sont modifiables. Filtrer par priorité, domaine ou plateforme pour préparer la prochaine passe.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5" t="str">
        <x:v>« À valider » signifie que le code existe et qu’une preuve manque. Les rapports des anciennes versions restent historiques.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4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34" customHeight="1">
      <x:c r="A7" s="10" t="str">
        <x:v>ID</x:v>
      </x:c>
      <x:c r="B7" s="10" t="str">
        <x:v>Priorité</x:v>
      </x:c>
      <x:c r="C7" s="10" t="str">
        <x:v>Statut</x:v>
      </x:c>
      <x:c r="D7" s="10" t="str">
        <x:v>Domaine</x:v>
      </x:c>
      <x:c r="E7" s="10" t="str">
        <x:v>Plateforme</x:v>
      </x:c>
      <x:c r="F7" s="10" t="str">
        <x:v>Chantier</x:v>
      </x:c>
      <x:c r="G7" s="10" t="str">
        <x:v>État constaté</x:v>
      </x:c>
      <x:c r="H7" s="10" t="str">
        <x:v>Travail à réaliser</x:v>
      </x:c>
      <x:c r="I7" s="10" t="str">
        <x:v>Critères de recette</x:v>
      </x:c>
      <x:c r="J7" s="10" t="str">
        <x:v>Dépendances</x:v>
      </x:c>
      <x:c r="K7" s="10" t="str">
        <x:v>Validation de cette passe</x:v>
      </x:c>
      <x:c r="L7" s="10" t="str">
        <x:v>Suivi</x:v>
      </x:c>
      <x:c r="M7" s="10" t="str">
        <x:v>Preuves dans le dépôt</x:v>
      </x:c>
    </x:row>
    <x:row r="8" ht="49" customHeight="1">
      <x:c r="A8" s="13" t="str">
        <x:v>FG-001</x:v>
      </x:c>
      <x:c r="B8" s="13" t="str">
        <x:v>P0</x:v>
      </x:c>
      <x:c r="C8" s="14" t="str">
        <x:v>Terminé</x:v>
      </x:c>
      <x:c r="D8" s="11" t="str">
        <x:v>Livraison</x:v>
      </x:c>
      <x:c r="E8" s="11" t="str">
        <x:v>Toutes</x:v>
      </x:c>
      <x:c r="F8" s="12" t="str">
        <x:v>Importer la suite complète dans GitHub</x:v>
      </x:c>
      <x:c r="G8" s="12" t="str">
        <x:v>Suite publiée sur main dans le dépôt demandé. Le premier commit applicatif vérifié contient 589 fichiers, dont les sources et le classeur.</x:v>
      </x:c>
      <x:c r="H8" s="12" t="str">
        <x:v>Publier les sources Android, Web, PC, tests, outils et documentation en conservant les notices. Contrôler l’arbre distant après publication.</x:v>
      </x:c>
      <x:c r="I8" s="12" t="str">
        <x:v>Les fichiers nécessaires à chaque canal sont présents dans le commit GitHub et correspondent au contenu vérifié.</x:v>
      </x:c>
      <x:c r="J8" s="12" t="str">
        <x:v>Aucune</x:v>
      </x:c>
      <x:c r="K8" s="12" t="str">
        <x:v>Commit f954889bceaa81636c5c24a37f78a5ea1951554c retrouvé dans un nouveau clone public propre. Arbre et Excel vérifiés.</x:v>
      </x:c>
      <x:c r="L8" s="15" t="str"/>
      <x:c r="M8" s="12" t="str">
        <x:v>README.md; docs/INTEGRATION_GITHUB.md; RELEASE.json; MANIFEST.sha256</x:v>
      </x:c>
    </x:row>
    <x:row r="9" ht="88" customHeight="1">
      <x:c r="A9" s="13" t="str">
        <x:v>FG-002</x:v>
      </x:c>
      <x:c r="B9" s="13" t="str">
        <x:v>P0</x:v>
      </x:c>
      <x:c r="C9" s="14" t="str">
        <x:v>Partiel</x:v>
      </x:c>
      <x:c r="D9" s="11" t="str">
        <x:v>Livraison</x:v>
      </x:c>
      <x:c r="E9" s="11" t="str">
        <x:v>Toutes</x:v>
      </x:c>
      <x:c r="F9" s="12" t="str">
        <x:v>Exécuter les contrôles à chaque modification</x:v>
      </x:c>
      <x:c r="G9" s="12" t="str">
        <x:v>Workflow push/PR publié et exécuté. Les trois jobs distants web-pc, browser et android réussissent dans la CI finale. Le test navigateur corrigé réussit également localement sur Chrome 156 et sur la version Chromium de CI.</x:v>
      </x:c>
      <x:c r="H9" s="12" t="str">
        <x:v>Déclencher la CI sur push et PR. Installer les dépendances verrouillées et exécuter les suites appropriées, avec journaux et artefacts.</x:v>
      </x:c>
      <x:c r="I9" s="12" t="str">
        <x:v>Un commit propre passe les contrôles automatiques. Une régression injectée fait échouer le job concerné.</x:v>
      </x:c>
      <x:c r="J9" s="12" t="str">
        <x:v>FG-001</x:v>
      </x:c>
      <x:c r="K9" s="12" t="str">
        <x:v>GitHub Actions 40403868550 : COMPLETED/SUCCESS le 26/10/2026 à 21:26:39 UTC, commit 8f7f1b7. Jobs web-pc, browser et android réussis. Navigateur CI : 22/22 contrôles. APK et rapports Android publiés.</x:v>
      </x:c>
      <x:c r="L9" s="15" t="str">
        <x:v>L’injection contrôlée de régression reste à exercer pour fermer le critère. La divergence navigator.onLine est un diagnostic navigateur ; la preuve hors ligne utilise désormais le rejet réel d’une requête sans cache.</x:v>
      </x:c>
      <x:c r="M9" s="12" t="str">
        <x:v>.github/workflows/build.yml; package.json; docs/QA_REPORT.md; docs/qa/current.json</x:v>
      </x:c>
    </x:row>
    <x:row r="10" ht="101" customHeight="1">
      <x:c r="A10" s="13" t="str">
        <x:v>FG-003</x:v>
      </x:c>
      <x:c r="B10" s="13" t="str">
        <x:v>P0</x:v>
      </x:c>
      <x:c r="C10" s="14" t="str">
        <x:v>Partiel</x:v>
      </x:c>
      <x:c r="D10" s="11" t="str">
        <x:v>Android</x:v>
      </x:c>
      <x:c r="E10" s="11" t="str">
        <x:v>Android</x:v>
      </x:c>
      <x:c r="F10" s="12" t="str">
        <x:v>Compiler réellement Android avec SDK et Compose</x:v>
      </x:c>
      <x:c r="G10" s="12" t="str">
        <x:v>Compilation SDK/Compose, assemblage de l’APK et lint réussis. Trois fichiers Compose invalides et 13 erreurs lint corrigés. Les tests Android JUnit ne sont pas encore présents.</x:v>
      </x:c>
      <x:c r="H10" s="12" t="str">
        <x:v>Exécuter assembleDebug, tests unitaires et lint avec JDK17 et SDK requis. Corriger les erreurs et conserver les rapports.</x:v>
      </x:c>
      <x:c r="I10" s="12" t="str">
        <x:v>APK debug produit, tests et lint réussis. Aucune compilation avec stubs présentée comme build Android.</x:v>
      </x:c>
      <x:c r="J10" s="12" t="str">
        <x:v>FG-002</x:v>
      </x:c>
      <x:c r="K10" s="12" t="str">
        <x:v>Local : assembleDebug + testDebugUnitTest + lintDebug, exit 0 en 5 min 24 s. Même groupe réussi dans la CI finale 40403868550. Lint : 0 erreur, 31 avertissements, 1 remarque. JUnit Android : NO-SOURCE, aucun test exécuté. APK locale debug v2 vérifiée.</x:v>
      </x:c>
      <x:c r="L10" s="15" t="str">
        <x:v>Complément pour clore le critère de tests : ajouter/exécuter de vrais tests unitaires Android. Les 31 avertissements lint ne sont pas 31 bugs fonctionnels : 21 UseKtx, 6 dépendances, 1 ApplySharedPref, 1 ObsoleteSdkInt, 1 Overdraw et 1 HardcodedText. Préserver le commit synchrone requis par la sécurité.</x:v>
      </x:c>
      <x:c r="M10" s="12" t="str">
        <x:v>app/build.gradle.kts; build.gradle.kts; app/src/main/java/com/franchiseguide/app/ui/FranchisePanels.kt; app/src/main/java/com/franchiseguide/app/ui/InsightsPanels.kt; app/src/main/java/com/franchiseguide/app/ui/WatchAvailabilityScreen.kt; docs/ANDROID_BUILD.md; docs/qa/current.json</x:v>
      </x:c>
    </x:row>
    <x:row r="11" ht="49" customHeight="1">
      <x:c r="A11" s="13" t="str">
        <x:v>FG-004</x:v>
      </x:c>
      <x:c r="B11" s="13" t="str">
        <x:v>P1</x:v>
      </x:c>
      <x:c r="C11" s="14" t="str">
        <x:v>Terminé</x:v>
      </x:c>
      <x:c r="D11" s="11" t="str">
        <x:v>Livraison</x:v>
      </x:c>
      <x:c r="E11" s="11" t="str">
        <x:v>Toutes</x:v>
      </x:c>
      <x:c r="F11" s="12" t="str">
        <x:v>Harmoniser versions et manifestes de distribution</x:v>
      </x:c>
      <x:c r="G11" s="12" t="str">
        <x:v>Versions harmonisées en 0.36.0, miroirs Web synchronisés et JAR PC reconstruit. Le manifeste du premier clone publié a été vérifié.</x:v>
      </x:c>
      <x:c r="H11" s="12" t="str">
        <x:v>Synchroniser les métadonnées, reconstruire le JAR, générer les empreintes et comparer les ressources des distributions.</x:v>
      </x:c>
      <x:c r="I11" s="12" t="str">
        <x:v>Version affichée, RELEASE.json, manifestes PWA et binaire PC cohérents. Aucun moteur Web périmé livré.</x:v>
      </x:c>
      <x:c r="J11" s="12" t="str">
        <x:v>FG-001</x:v>
      </x:c>
      <x:c r="K11" s="12" t="str">
        <x:v>588 fichiers SHA-256 vérifiés dans le clone public. JAR 0.36.0 et --probe réussis ; 109 contrôles HTTP et 9 de démarrage.</x:v>
      </x:c>
      <x:c r="L11" s="15" t="str">
        <x:v>Régénérer le manifeste après chaque nouvelle modification ou export du classeur.</x:v>
      </x:c>
      <x:c r="M11" s="12" t="str">
        <x:v>tools/build_pc.sh; web/sw.js; web/manifest.webmanifest; RELEASE.json</x:v>
      </x:c>
    </x:row>
    <x:row r="12" ht="62" customHeight="1">
      <x:c r="A12" s="13" t="str">
        <x:v>FG-005</x:v>
      </x:c>
      <x:c r="B12" s="13" t="str">
        <x:v>P1</x:v>
      </x:c>
      <x:c r="C12" s="14" t="str">
        <x:v>Terminé</x:v>
      </x:c>
      <x:c r="D12" s="11" t="str">
        <x:v>Livraison</x:v>
      </x:c>
      <x:c r="E12" s="11" t="str">
        <x:v>Toutes</x:v>
      </x:c>
      <x:c r="F12" s="12" t="str">
        <x:v>Consolider la documentation courante</x:v>
      </x:c>
      <x:c r="G12" s="12" t="str">
        <x:v>Entrées README/START_HERE, matrice, barrières de publication et guide Android actualisés. Quatre guides liés clarifient 0.36.0, portable 11 et preuves historiques.</x:v>
      </x:c>
      <x:c r="H12" s="12" t="str">
        <x:v>Séparer les références historiques des instructions courantes. Mettre à jour matrice de fonctions, conditions de démarrage et barrières selon preuves de cette passe.</x:v>
      </x:c>
      <x:c r="I12" s="12" t="str">
        <x:v>Un nouvel utilisateur trouve les commandes et limites actuelles sans choisir entre des instructions contradictoires.</x:v>
      </x:c>
      <x:c r="J12" s="12" t="str">
        <x:v>FG-004</x:v>
      </x:c>
      <x:c r="K12" s="12" t="str">
        <x:v>Lecture des guides liés. Contradictions « export courant schéma 8 » et « aucun build SDK » supprimées. Le rapport QA courant reste la référence des résultats.</x:v>
      </x:c>
      <x:c r="L12" s="15" t="str"/>
      <x:c r="M12" s="12" t="str">
        <x:v>README.md; START_HERE.md; docs/FEATURE_MATRIX.md; docs/GAMING_ACHIEVEMENTS.md; docs/STEAM_SIGN_IN.md; docs/RETROACHIEVEMENTS.md; docs/PRIVACY_TECHNICAL.md</x:v>
      </x:c>
    </x:row>
    <x:row r="13" ht="75" customHeight="1">
      <x:c r="A13" s="13" t="str">
        <x:v>FG-006</x:v>
      </x:c>
      <x:c r="B13" s="13" t="str">
        <x:v>P1</x:v>
      </x:c>
      <x:c r="C13" s="14" t="str">
        <x:v>Terminé</x:v>
      </x:c>
      <x:c r="D13" s="11" t="str">
        <x:v>Livraison</x:v>
      </x:c>
      <x:c r="E13" s="11" t="str">
        <x:v>Toutes</x:v>
      </x:c>
      <x:c r="F13" s="12" t="str">
        <x:v>Reproduire la suite depuis un clone vierge</x:v>
      </x:c>
      <x:c r="G13" s="12" t="str">
        <x:v>Nouveau clone public sans modification locale exercé après publication. Les dépendances ont été installées depuis le lockfile en utilisant le cache npm du poste.</x:v>
      </x:c>
      <x:c r="H13" s="12" t="str">
        <x:v>Cloner dans un répertoire vierge, installer les dépendances verrouillées avec les prérequis documentés, exercer la structure, le build PC et le démarrage Web. Documenter les caches réutilisés.</x:v>
      </x:c>
      <x:c r="I13" s="12" t="str">
        <x:v>Clone vierge puis commandes documentées suffisants pour lancer Web et construire PC. Échecs de prérequis expliqués.</x:v>
      </x:c>
      <x:c r="J13" s="12" t="str">
        <x:v>FG-002</x:v>
      </x:c>
      <x:c r="K13" s="12" t="str">
        <x:v>HEAD exact et arbre propre. npm ci --offline : 42 paquets. Structure : 216 contrôles. Build PC et --probe réussis. npm start répond HTTP 200 sur port 47642.</x:v>
      </x:c>
      <x:c r="L13" s="15" t="str">
        <x:v>Cette recette réutilise le cache npm de l’environnement. La CI distante vérifie séparément le parcours d’installation sur son runner.</x:v>
      </x:c>
      <x:c r="M13" s="12" t="str">
        <x:v>tools/bootstrap-gradle.sh; tools/build_pc.sh; tools/run_checks.sh; package-lock.json</x:v>
      </x:c>
    </x:row>
    <x:row r="14" ht="49" customHeight="1">
      <x:c r="A14" s="13" t="str">
        <x:v>FG-007</x:v>
      </x:c>
      <x:c r="B14" s="13" t="str">
        <x:v>P1</x:v>
      </x:c>
      <x:c r="C14" s="14" t="str">
        <x:v>À valider</x:v>
      </x:c>
      <x:c r="D14" s="11" t="str">
        <x:v>Livraison</x:v>
      </x:c>
      <x:c r="E14" s="11" t="str">
        <x:v>Toutes</x:v>
      </x:c>
      <x:c r="F14" s="12" t="str">
        <x:v>Régénérer et vérifier les archives livrables</x:v>
      </x:c>
      <x:c r="G14" s="12" t="str">
        <x:v>Des vérificateurs ZIP/RAR et manifestes existent. Les empreintes anciennes ne couvrent pas les nouvelles modifications.</x:v>
      </x:c>
      <x:c r="H14" s="12" t="str">
        <x:v>Assembler les archives de la nouvelle version, les extraire indépendamment et comparer chemins, tailles, octets et modes exécutables.</x:v>
      </x:c>
      <x:c r="I14" s="12" t="str">
        <x:v>Archives extractibles et lancement depuis leur contenu extrait. Rapport d’empreintes rattaché à la version publiée.</x:v>
      </x:c>
      <x:c r="J14" s="12" t="str">
        <x:v>FG-004</x:v>
      </x:c>
      <x:c r="K14" s="12" t="str">
        <x:v>Non vérifié dans cette passe</x:v>
      </x:c>
      <x:c r="L14" s="15" t="str"/>
      <x:c r="M14" s="12" t="str">
        <x:v>tools/verify_archive.py; tools/check_extracted_web.py; tools/create_rar5.py</x:v>
      </x:c>
    </x:row>
    <x:row r="15" ht="49" customHeight="1">
      <x:c r="A15" s="13" t="str">
        <x:v>FG-008</x:v>
      </x:c>
      <x:c r="B15" s="13" t="str">
        <x:v>P1</x:v>
      </x:c>
      <x:c r="C15" s="14" t="str">
        <x:v>À valider</x:v>
      </x:c>
      <x:c r="D15" s="11" t="str">
        <x:v>Android</x:v>
      </x:c>
      <x:c r="E15" s="11" t="str">
        <x:v>Android</x:v>
      </x:c>
      <x:c r="F15" s="12" t="str">
        <x:v>Tester les codecs avec le véritable moteur JSON</x:v>
      </x:c>
      <x:c r="G15" s="12" t="str">
        <x:v>Deux groupes de codecs JSON natifs étaient exclus de la QA récupérée. Les stubs prouvent seulement des signatures.</x:v>
      </x:c>
      <x:c r="H15" s="12" t="str">
        <x:v>Exécuter GamingCodecRetroTest et MediaIdentityCodecTest avec org.json réel, puis les migrations avec le runtime Android.</x:v>
      </x:c>
      <x:c r="I15" s="12" t="str">
        <x:v>Identités, alias et succès conservés. JSON invalide ou version future refusés sans écraser la bibliothèque.</x:v>
      </x:c>
      <x:c r="J15" s="12" t="str">
        <x:v>FG-003</x:v>
      </x:c>
      <x:c r="K15" s="12" t="str">
        <x:v>Non vérifié dans cette passe</x:v>
      </x:c>
      <x:c r="L15" s="15" t="str"/>
      <x:c r="M15" s="12" t="str">
        <x:v>tests/GamingCodecRetroTest.kt; tests/MediaIdentityCodecTest.kt; app/src/main/java/com/franchiseguide/app/data/</x:v>
      </x:c>
    </x:row>
    <x:row r="16" ht="48" customHeight="1">
      <x:c r="A16" s="13" t="str">
        <x:v>FG-009</x:v>
      </x:c>
      <x:c r="B16" s="13" t="str">
        <x:v>P0</x:v>
      </x:c>
      <x:c r="C16" s="14" t="str">
        <x:v>À valider</x:v>
      </x:c>
      <x:c r="D16" s="11" t="str">
        <x:v>Android</x:v>
      </x:c>
      <x:c r="E16" s="11" t="str">
        <x:v>Android</x:v>
      </x:c>
      <x:c r="F16" s="12" t="str">
        <x:v>Valider les parcours Compose sur appareil</x:v>
      </x:c>
      <x:c r="G16" s="12" t="str">
        <x:v>Écrans séries, films, livres, jeux, franchises et imports présents en sources. Aucun essai appareil fourni dans la base.</x:v>
      </x:c>
      <x:c r="H16" s="12" t="str">
        <x:v>Parcourir ajout, fiche, épisodes, listes, import, export, réglages et reprise sur émulateur puis téléphone. Corriger navigation et recomposition.</x:v>
      </x:c>
      <x:c r="I16" s="12" t="str">
        <x:v>Parcours complets sans crash. Retour, rotation et reprise conservent la bonne œuvre, les brouillons et le suivi.</x:v>
      </x:c>
      <x:c r="J16" s="12" t="str">
        <x:v>FG-003</x:v>
      </x:c>
      <x:c r="K16" s="12" t="str">
        <x:v>Non vérifié dans cette passe</x:v>
      </x:c>
      <x:c r="L16" s="15" t="str"/>
      <x:c r="M16" s="12" t="str">
        <x:v>app/src/main/java/com/franchiseguide/app/ui/FranchiseGuideApp.kt; app/src/main/java/com/franchiseguide/app/ui/Screens.kt</x:v>
      </x:c>
    </x:row>
    <x:row r="17" ht="62" customHeight="1">
      <x:c r="A17" s="13" t="str">
        <x:v>FG-010</x:v>
      </x:c>
      <x:c r="B17" s="13" t="str">
        <x:v>P0</x:v>
      </x:c>
      <x:c r="C17" s="14" t="str">
        <x:v>À valider</x:v>
      </x:c>
      <x:c r="D17" s="11" t="str">
        <x:v>Android</x:v>
      </x:c>
      <x:c r="E17" s="11" t="str">
        <x:v>Android</x:v>
      </x:c>
      <x:c r="F17" s="12" t="str">
        <x:v>Vérifier les écritures et reprises après arrêt de processus</x:v>
      </x:c>
      <x:c r="G17" s="12" t="str">
        <x:v>Le repository applique des gardes et rollback en mémoire. Le stockage réel Android reste à exercer.</x:v>
      </x:c>
      <x:c r="H17" s="12" t="str">
        <x:v>Tester arrêt forcé, espace insuffisant, SharedPreferences illisible et restauration après import ou synchronisation. Corriger les opérations non atomiques.</x:v>
      </x:c>
      <x:c r="I17" s="12" t="str">
        <x:v>Dernier état valide récupérable. Aucun succès affiché après persistance échouée. Reprise sans doublon distant.</x:v>
      </x:c>
      <x:c r="J17" s="12" t="str">
        <x:v>FG-003</x:v>
      </x:c>
      <x:c r="K17" s="12" t="str">
        <x:v>Non vérifié dans cette passe</x:v>
      </x:c>
      <x:c r="L17" s="15" t="str"/>
      <x:c r="M17" s="12" t="str">
        <x:v>app/src/main/java/com/franchiseguide/app/data/AppRepository.kt; app/src/main/java/com/franchiseguide/app/ui/RecoveryScreen.kt</x:v>
      </x:c>
    </x:row>
    <x:row r="18" ht="49" customHeight="1">
      <x:c r="A18" s="13" t="str">
        <x:v>FG-011</x:v>
      </x:c>
      <x:c r="B18" s="13" t="str">
        <x:v>P1</x:v>
      </x:c>
      <x:c r="C18" s="14" t="str">
        <x:v>À valider</x:v>
      </x:c>
      <x:c r="D18" s="11" t="str">
        <x:v>Android</x:v>
      </x:c>
      <x:c r="E18" s="11" t="str">
        <x:v>Android</x:v>
      </x:c>
      <x:c r="F18" s="12" t="str">
        <x:v>Exercer la synchronisation WorkManager</x:v>
      </x:c>
      <x:c r="G18" s="12" t="str">
        <x:v>TraktSyncWorker et son planificateur sont présents. Leur exécution sous Android et en veille n’est pas qualifiée.</x:v>
      </x:c>
      <x:c r="H18" s="12" t="str">
        <x:v>Tester activation, intervalle, perte réseau, Doze, changement de compte et désactivation. Contrôler unicité et annulation du travail périodique.</x:v>
      </x:c>
      <x:c r="I18" s="12" t="str">
        <x:v>Aucun doublon de tâche. Aucun envoi après déconnexion. Échec temporaire repris avec les contraintes prévues.</x:v>
      </x:c>
      <x:c r="J18" s="12" t="str">
        <x:v>FG-003, FG-032</x:v>
      </x:c>
      <x:c r="K18" s="12" t="str">
        <x:v>Non vérifié dans cette passe</x:v>
      </x:c>
      <x:c r="L18" s="15" t="str"/>
      <x:c r="M18" s="12" t="str">
        <x:v>app/src/main/java/com/franchiseguide/app/sync/TraktSyncWorker.kt</x:v>
      </x:c>
    </x:row>
    <x:row r="19" ht="49" customHeight="1">
      <x:c r="A19" s="13" t="str">
        <x:v>FG-012</x:v>
      </x:c>
      <x:c r="B19" s="13" t="str">
        <x:v>P1</x:v>
      </x:c>
      <x:c r="C19" s="14" t="str">
        <x:v>À valider</x:v>
      </x:c>
      <x:c r="D19" s="11" t="str">
        <x:v>Android</x:v>
      </x:c>
      <x:c r="E19" s="11" t="str">
        <x:v>Android</x:v>
      </x:c>
      <x:c r="F19" s="12" t="str">
        <x:v>Qualifier les notifications d’épisodes</x:v>
      </x:c>
      <x:c r="G19" s="12" t="str">
        <x:v>Sources de notifications et permission POST_NOTIFICATIONS présentes.</x:v>
      </x:c>
      <x:c r="H19" s="12" t="str">
        <x:v>Tester permission accordée/refusée, heure locale, redémarrage, changement de date et clic sur notification. Éviter notifications répétées ou obsolètes.</x:v>
      </x:c>
      <x:c r="I19" s="12" t="str">
        <x:v>Rappel ouvre le bon épisode. Pas de doublon après resynchronisation. Refus de permission sans blocage de l’application.</x:v>
      </x:c>
      <x:c r="J19" s="12" t="str">
        <x:v>FG-003, FG-041</x:v>
      </x:c>
      <x:c r="K19" s="12" t="str">
        <x:v>Non vérifié dans cette passe</x:v>
      </x:c>
      <x:c r="L19" s="15" t="str"/>
      <x:c r="M19" s="12" t="str">
        <x:v>app/src/main/java/com/franchiseguide/app/notifications/EpisodeNotifications.kt; app/src/main/AndroidManifest.xml</x:v>
      </x:c>
    </x:row>
    <x:row r="20" ht="49" customHeight="1">
      <x:c r="A20" s="13" t="str">
        <x:v>FG-013</x:v>
      </x:c>
      <x:c r="B20" s="13" t="str">
        <x:v>P1</x:v>
      </x:c>
      <x:c r="C20" s="14" t="str">
        <x:v>À valider</x:v>
      </x:c>
      <x:c r="D20" s="11" t="str">
        <x:v>Android</x:v>
      </x:c>
      <x:c r="E20" s="11" t="str">
        <x:v>Android</x:v>
      </x:c>
      <x:c r="F20" s="12" t="str">
        <x:v>Qualifier le widget et son actualisation</x:v>
      </x:c>
      <x:c r="G20" s="12" t="str">
        <x:v>DashboardWidgetProvider et sources Aujourd’hui sont présents.</x:v>
      </x:c>
      <x:c r="H20" s="12" t="str">
        <x:v>Tester ajout/redimensionnement, rafraîchissement après suivi et synchronisation, veille, processus détruit et clics.</x:v>
      </x:c>
      <x:c r="I20" s="12" t="str">
        <x:v>Widget reflète les données actuelles et ouvre le bon écran. Aucun état périmé présenté comme synchronisé.</x:v>
      </x:c>
      <x:c r="J20" s="12" t="str">
        <x:v>FG-003, FG-011</x:v>
      </x:c>
      <x:c r="K20" s="12" t="str">
        <x:v>Non vérifié dans cette passe</x:v>
      </x:c>
      <x:c r="L20" s="15" t="str"/>
      <x:c r="M20" s="12" t="str">
        <x:v>app/src/main/java/com/franchiseguide/app/widget/DashboardWidgetProvider.kt; app/src/main/java/com/franchiseguide/app/model/TodayRules.kt</x:v>
      </x:c>
    </x:row>
    <x:row r="21" ht="49" customHeight="1">
      <x:c r="A21" s="13" t="str">
        <x:v>FG-014</x:v>
      </x:c>
      <x:c r="B21" s="13" t="str">
        <x:v>P1</x:v>
      </x:c>
      <x:c r="C21" s="14" t="str">
        <x:v>À développer</x:v>
      </x:c>
      <x:c r="D21" s="11" t="str">
        <x:v>Android</x:v>
      </x:c>
      <x:c r="E21" s="11" t="str">
        <x:v>Android</x:v>
      </x:c>
      <x:c r="F21" s="12" t="str">
        <x:v>Compléter l’effacement local natif</x:v>
      </x:c>
      <x:c r="G21" s="12" t="str">
        <x:v>La V0.35 documente un effacement Web/PC, sans parcours Android complet équivalent validé.</x:v>
      </x:c>
      <x:c r="H21" s="12" t="str">
        <x:v>Ajouter aperçu et confirmation, révoquer les sessions concernées, nettoyer stockages applicatifs et tâches, puis vérifier les résidus.</x:v>
      </x:c>
      <x:c r="I21" s="12" t="str">
        <x:v>Nettoyage local complet ou résultat partiel explicite. Historiques et comptes distants préservés sauf action dédiée.</x:v>
      </x:c>
      <x:c r="J21" s="12" t="str">
        <x:v>FG-003, FG-010</x:v>
      </x:c>
      <x:c r="K21" s="12" t="str">
        <x:v>Non vérifié dans cette passe</x:v>
      </x:c>
      <x:c r="L21" s="15" t="str"/>
      <x:c r="M21" s="12" t="str">
        <x:v>app/src/main/java/com/franchiseguide/app/data/AppRepository.kt; docs/PRIVACY_TECHNICAL.md</x:v>
      </x:c>
    </x:row>
    <x:row r="22" ht="49" customHeight="1">
      <x:c r="A22" s="13" t="str">
        <x:v>FG-015</x:v>
      </x:c>
      <x:c r="B22" s="13" t="str">
        <x:v>P1</x:v>
      </x:c>
      <x:c r="C22" s="14" t="str">
        <x:v>Partiel</x:v>
      </x:c>
      <x:c r="D22" s="11" t="str">
        <x:v>Android</x:v>
      </x:c>
      <x:c r="E22" s="11" t="str">
        <x:v>Android</x:v>
      </x:c>
      <x:c r="F22" s="12" t="str">
        <x:v>Protéger les jetons dans le stockage natif</x:v>
      </x:c>
      <x:c r="G22" s="12" t="str">
        <x:v>Les identifiants sont séparés de l’export portable. Leur comportement réel et leur protection sur appareil doivent être revus.</x:v>
      </x:c>
      <x:c r="H22" s="12" t="str">
        <x:v>Évaluer le stockage sécurisé Android, migrer les secrets sans perte de session et tester les règles de sauvegarde système.</x:v>
      </x:c>
      <x:c r="I22" s="12" t="str">
        <x:v>Secrets absents des exports, journaux et sauvegardes non autorisées. Rotation, migration et déconnexion testées.</x:v>
      </x:c>
      <x:c r="J22" s="12" t="str">
        <x:v>FG-003, FG-010</x:v>
      </x:c>
      <x:c r="K22" s="12" t="str">
        <x:v>Non vérifié dans cette passe</x:v>
      </x:c>
      <x:c r="L22" s="15" t="str"/>
      <x:c r="M22" s="12" t="str">
        <x:v>app/src/main/java/com/franchiseguide/app/data/AppRepository.kt; app/src/main/res/xml/backup_rules.xml; app/src/main/res/xml/data_extraction_rules.xml</x:v>
      </x:c>
    </x:row>
    <x:row r="23" ht="49" customHeight="1">
      <x:c r="A23" s="13" t="str">
        <x:v>FG-016</x:v>
      </x:c>
      <x:c r="B23" s="13" t="str">
        <x:v>P1</x:v>
      </x:c>
      <x:c r="C23" s="14" t="str">
        <x:v>À développer</x:v>
      </x:c>
      <x:c r="D23" s="11" t="str">
        <x:v>Android</x:v>
      </x:c>
      <x:c r="E23" s="11" t="str">
        <x:v>Android</x:v>
      </x:c>
      <x:c r="F23" s="12" t="str">
        <x:v>Intégrer les accès éditeur au client natif</x:v>
      </x:c>
      <x:c r="G23" s="12" t="str">
        <x:v>Les passerelles automatiques sont Node/Java PC. Le transport natif équivalent n’est pas livré dans la base.</x:v>
      </x:c>
      <x:c r="H23" s="12" t="str">
        <x:v>Définir le point d’accès et l’identité de l’application native, connecter capacités et erreurs, puis supprimer la dépendance aux saisies techniques ordinaires.</x:v>
      </x:c>
      <x:c r="I23" s="12" t="str">
        <x:v>Recherche et connexion disponibles avec configuration opérateur valide. Aucun secret serveur livré dans l’APK.</x:v>
      </x:c>
      <x:c r="J23" s="12" t="str">
        <x:v>FG-003, FG-078</x:v>
      </x:c>
      <x:c r="K23" s="12" t="str">
        <x:v>Non vérifié dans cette passe</x:v>
      </x:c>
      <x:c r="L23" s="15" t="str"/>
      <x:c r="M23" s="12" t="str">
        <x:v>docs/AUTOMATIC_SERVICES.md; app/src/main/java/com/franchiseguide/app/network/</x:v>
      </x:c>
    </x:row>
    <x:row r="24" ht="49" customHeight="1">
      <x:c r="A24" s="13" t="str">
        <x:v>FG-017</x:v>
      </x:c>
      <x:c r="B24" s="13" t="str">
        <x:v>P1</x:v>
      </x:c>
      <x:c r="C24" s="14" t="str">
        <x:v>À développer</x:v>
      </x:c>
      <x:c r="D24" s="11" t="str">
        <x:v>Android</x:v>
      </x:c>
      <x:c r="E24" s="11" t="str">
        <x:v>Android</x:v>
      </x:c>
      <x:c r="F24" s="12" t="str">
        <x:v>Ajouter la connexion et la lecture Steam natives</x:v>
      </x:c>
      <x:c r="G24" s="12" t="str">
        <x:v>Android transporte les relevés Steam importés. La connexion et la lecture réseau natives restent absentes.</x:v>
      </x:c>
      <x:c r="H24" s="12" t="str">
        <x:v>Implémenter le parcours autorisé de connexion, retour navigateur, import de bibliothèque et succès, avec annulation et liaison de compte.</x:v>
      </x:c>
      <x:c r="I24" s="12" t="str">
        <x:v>Bibliothèque et succès du compte choisi récupérés. Profil privé, compte changé et session expirée ne remplacent pas le dernier relevé.</x:v>
      </x:c>
      <x:c r="J24" s="12" t="str">
        <x:v>FG-003, FG-052</x:v>
      </x:c>
      <x:c r="K24" s="12" t="str">
        <x:v>Non vérifié dans cette passe</x:v>
      </x:c>
      <x:c r="L24" s="15" t="str"/>
      <x:c r="M24" s="12" t="str">
        <x:v>docs/STEAM_SIGN_IN.md; app/src/main/java/com/franchiseguide/app/ui/GamingAchievementsPanel.kt</x:v>
      </x:c>
    </x:row>
    <x:row r="25" ht="49" customHeight="1">
      <x:c r="A25" s="13" t="str">
        <x:v>FG-018</x:v>
      </x:c>
      <x:c r="B25" s="13" t="str">
        <x:v>P1</x:v>
      </x:c>
      <x:c r="C25" s="14" t="str">
        <x:v>À développer</x:v>
      </x:c>
      <x:c r="D25" s="11" t="str">
        <x:v>Android</x:v>
      </x:c>
      <x:c r="E25" s="11" t="str">
        <x:v>Android</x:v>
      </x:c>
      <x:c r="F25" s="12" t="str">
        <x:v>Ajouter les lectures RetroAchievements natives</x:v>
      </x:c>
      <x:c r="G25" s="12" t="str">
        <x:v>Les champs RA sont transportés et affichés, sans client réseau natif.</x:v>
      </x:c>
      <x:c r="H25" s="12" t="str">
        <x:v>Ajouter association explicite du profil public, lecture paginée et actualisation de succès normal/Hardcore via accès autorisé.</x:v>
      </x:c>
      <x:c r="I25" s="12" t="str">
        <x:v>ULID stable conservé. Modes distincts et pages complètes. L’association de profil n’est pas présentée comme authentification.</x:v>
      </x:c>
      <x:c r="J25" s="12" t="str">
        <x:v>FG-003, FG-054</x:v>
      </x:c>
      <x:c r="K25" s="12" t="str">
        <x:v>Non vérifié dans cette passe</x:v>
      </x:c>
      <x:c r="L25" s="15" t="str"/>
      <x:c r="M25" s="12" t="str">
        <x:v>docs/RETROACHIEVEMENTS.md; app/src/main/java/com/franchiseguide/app/model/GamingModels.kt</x:v>
      </x:c>
    </x:row>
    <x:row r="26" ht="49" customHeight="1">
      <x:c r="A26" s="13" t="str">
        <x:v>FG-019</x:v>
      </x:c>
      <x:c r="B26" s="13" t="str">
        <x:v>P2</x:v>
      </x:c>
      <x:c r="C26" s="14" t="str">
        <x:v>Partiel</x:v>
      </x:c>
      <x:c r="D26" s="11" t="str">
        <x:v>Android</x:v>
      </x:c>
      <x:c r="E26" s="11" t="str">
        <x:v>Android</x:v>
      </x:c>
      <x:c r="F26" s="12" t="str">
        <x:v>Compléter la consultation native des éditions de livres</x:v>
      </x:c>
      <x:c r="G26" s="12" t="str">
        <x:v>Le panneau natif d’éditions ne possède pas toute la présentation Web, notamment couvertures et filtre de langue.</x:v>
      </x:c>
      <x:c r="H26" s="12" t="str">
        <x:v>Ajouter couvertures à la demande, filtre de langue et états d’erreur accessibles. Conserver la sélection d’édition explicite.</x:v>
      </x:c>
      <x:c r="I26" s="12" t="str">
        <x:v>Même édition retrouvée avec ses pages/langue. Aucune progression modifiée par une simple consultation.</x:v>
      </x:c>
      <x:c r="J26" s="12" t="str">
        <x:v>FG-003</x:v>
      </x:c>
      <x:c r="K26" s="12" t="str">
        <x:v>Non vérifié dans cette passe</x:v>
      </x:c>
      <x:c r="L26" s="15" t="str"/>
      <x:c r="M26" s="12" t="str">
        <x:v>app/src/main/java/com/franchiseguide/app/ui/BookEditionsPanel.kt; docs/BOOK_EDITIONS.md</x:v>
      </x:c>
    </x:row>
    <x:row r="27" ht="49" customHeight="1">
      <x:c r="A27" s="13" t="str">
        <x:v>FG-020</x:v>
      </x:c>
      <x:c r="B27" s="13" t="str">
        <x:v>P2</x:v>
      </x:c>
      <x:c r="C27" s="14" t="str">
        <x:v>Partiel</x:v>
      </x:c>
      <x:c r="D27" s="11" t="str">
        <x:v>Android</x:v>
      </x:c>
      <x:c r="E27" s="11" t="str">
        <x:v>Android</x:v>
      </x:c>
      <x:c r="F27" s="12" t="str">
        <x:v>Rapprocher l’entretien des fiches de la version Web</x:v>
      </x:c>
      <x:c r="G27" s="12" t="str">
        <x:v>Le centre d’entretien des catalogues est décrit surtout pour Web/PC.</x:v>
      </x:c>
      <x:c r="H27" s="12" t="str">
        <x:v>Comparer le périmètre natif, ajouter la liste des fiches incomplètes et les lots bornés manquants avec annulation.</x:v>
      </x:c>
      <x:c r="I27" s="12" t="str">
        <x:v>Fiches incomplètes identifiables et réparables. Résultat tardif ignoré après changement de bibliothèque.</x:v>
      </x:c>
      <x:c r="J27" s="12" t="str">
        <x:v>FG-003, FG-042</x:v>
      </x:c>
      <x:c r="K27" s="12" t="str">
        <x:v>Non vérifié dans cette passe</x:v>
      </x:c>
      <x:c r="L27" s="15" t="str"/>
      <x:c r="M27" s="12" t="str">
        <x:v>web/catalog-ui.js; app/src/main/java/com/franchiseguide/app/ui/Screens.kt; docs/STATISTIQUES_ET_SUIVI.md</x:v>
      </x:c>
    </x:row>
    <x:row r="28" ht="49" customHeight="1">
      <x:c r="A28" s="13" t="str">
        <x:v>FG-021</x:v>
      </x:c>
      <x:c r="B28" s="13" t="str">
        <x:v>P0</x:v>
      </x:c>
      <x:c r="C28" s="14" t="str">
        <x:v>À valider</x:v>
      </x:c>
      <x:c r="D28" s="11" t="str">
        <x:v>Web et PWA</x:v>
      </x:c>
      <x:c r="E28" s="11" t="str">
        <x:v>Web</x:v>
      </x:c>
      <x:c r="F28" s="12" t="str">
        <x:v>Qualifier une installation PWA réelle</x:v>
      </x:c>
      <x:c r="G28" s="12" t="str">
        <x:v>Manifest et service worker existent. La base ne prouve pas l’installation sur une origine réelle.</x:v>
      </x:c>
      <x:c r="H28" s="12" t="str">
        <x:v>Installer depuis HTTPS ou loopback pris en charge, relancer depuis l’icône et vérifier nom, thème, icônes, portée et stockage.</x:v>
      </x:c>
      <x:c r="I28" s="12" t="str">
        <x:v>Installation utilisable dans les navigateurs visés. Relance autonome retrouve les données de la bonne origine.</x:v>
      </x:c>
      <x:c r="J28" s="12" t="str">
        <x:v>FG-004</x:v>
      </x:c>
      <x:c r="K28" s="12" t="str">
        <x:v>Non vérifié dans cette passe</x:v>
      </x:c>
      <x:c r="L28" s="15" t="str"/>
      <x:c r="M28" s="12" t="str">
        <x:v>web/manifest.webmanifest; web/sw.js; docs/WEB.md</x:v>
      </x:c>
    </x:row>
    <x:row r="29" ht="75" customHeight="1">
      <x:c r="A29" s="13" t="str">
        <x:v>FG-022</x:v>
      </x:c>
      <x:c r="B29" s="13" t="str">
        <x:v>P0</x:v>
      </x:c>
      <x:c r="C29" s="14" t="str">
        <x:v>Partiel</x:v>
      </x:c>
      <x:c r="D29" s="11" t="str">
        <x:v>Web et PWA</x:v>
      </x:c>
      <x:c r="E29" s="11" t="str">
        <x:v>Web / PC</x:v>
      </x:c>
      <x:c r="F29" s="12" t="str">
        <x:v>Vérifier le démarrage hors ligne</x:v>
      </x:c>
      <x:c r="G29" s="12" t="str">
        <x:v>Rechargement hors ligne et stockage réel vérifiés sur origine HTTP dans Chrome 156 et ChromeHeadlessShell 151 (version CI). Autres navigateurs et installation OS restent à tester.</x:v>
      </x:c>
      <x:c r="H29" s="12" t="str">
        <x:v>Tester démarrage à froid après installation, navigation en mode avion et données sans image. Rendre les opérations indisponibles explicites.</x:v>
      </x:c>
      <x:c r="I29" s="12" t="str">
        <x:v>Bibliothèque consultable hors ligne après préparation. Aucune erreur réseau interprétée comme catalogue vide ou déconnexion certaine.</x:v>
      </x:c>
      <x:c r="J29" s="12" t="str">
        <x:v>FG-021</x:v>
      </x:c>
      <x:c r="K29" s="12" t="str">
        <x:v>22/22 contrôles sur chacune des deux versions Chrome. URL à nonce : HTTP 404 en ligne, fetch rejeté hors ligne sans cache ; rechargement servi par le service worker, 4 titres et thème conservés en mémoire et localStorage. Pas de PWA installée OS.</x:v>
      </x:c>
      <x:c r="L29" s="15" t="str"/>
      <x:c r="M29" s="12" t="str">
        <x:v>web/sw.js; web/maintenance.js; tests/sw.test.cjs; tests/browser-origin.cjs; docs/qa/current.json</x:v>
      </x:c>
    </x:row>
    <x:row r="30" ht="48" customHeight="1">
      <x:c r="A30" s="13" t="str">
        <x:v>FG-023</x:v>
      </x:c>
      <x:c r="B30" s="13" t="str">
        <x:v>P0</x:v>
      </x:c>
      <x:c r="C30" s="14" t="str">
        <x:v>À valider</x:v>
      </x:c>
      <x:c r="D30" s="11" t="str">
        <x:v>Web et PWA</x:v>
      </x:c>
      <x:c r="E30" s="11" t="str">
        <x:v>Web / PC</x:v>
      </x:c>
      <x:c r="F30" s="12" t="str">
        <x:v>Qualifier la mise à jour avec plusieurs onglets</x:v>
      </x:c>
      <x:c r="G30" s="12" t="str">
        <x:v>Activation du nouveau moteur déclenchée par l’interface. Le cycle multi-onglets réel reste à vérifier.</x:v>
      </x:c>
      <x:c r="H30" s="12" t="str">
        <x:v>Ouvrir deux versions, proposer la sauvegarde puis mise à jour, et fermer/recharger dans des ordres variés.</x:v>
      </x:c>
      <x:c r="I30" s="12" t="str">
        <x:v>Aucune écriture de schéma incompatible ni mélange d’assets. Données et opérations incertaines conservées.</x:v>
      </x:c>
      <x:c r="J30" s="12" t="str">
        <x:v>FG-021, FG-025</x:v>
      </x:c>
      <x:c r="K30" s="12" t="str">
        <x:v>Non vérifié dans cette passe</x:v>
      </x:c>
      <x:c r="L30" s="15" t="str"/>
      <x:c r="M30" s="12" t="str">
        <x:v>web/sw.js; web/release.js; web/persistence.js</x:v>
      </x:c>
    </x:row>
    <x:row r="31" ht="62" customHeight="1">
      <x:c r="A31" s="13" t="str">
        <x:v>FG-024</x:v>
      </x:c>
      <x:c r="B31" s="13" t="str">
        <x:v>P0</x:v>
      </x:c>
      <x:c r="C31" s="14" t="str">
        <x:v>À valider</x:v>
      </x:c>
      <x:c r="D31" s="11" t="str">
        <x:v>Web et PWA</x:v>
      </x:c>
      <x:c r="E31" s="11" t="str">
        <x:v>Web / PC</x:v>
      </x:c>
      <x:c r="F31" s="12" t="str">
        <x:v>Éprouver stockage persistant, quotas et éviction</x:v>
      </x:c>
      <x:c r="G31" s="12" t="str">
        <x:v>Copies IndexedDB et contrôles de persistance présents. localStorage et IndexedDB exercés sur une origine réelle Chrome ; quotas, permission de persistance et éviction restent non qualifiés.</x:v>
      </x:c>
      <x:c r="H31" s="12" t="str">
        <x:v>Tester navigateurs ordinaires/privés, quota plein, permission de persistance et suppression de données du site.</x:v>
      </x:c>
      <x:c r="I31" s="12" t="str">
        <x:v>Refus de stockage signalé avant faux succès. Export de récupération disponible. Limite de chaque navigateur documentée.</x:v>
      </x:c>
      <x:c r="J31" s="12" t="str">
        <x:v>FG-021</x:v>
      </x:c>
      <x:c r="K31" s="12" t="str">
        <x:v>Stockages localStorage et IndexedDB réels exercés dans Chrome 156 et ChromeHeadlessShell 151. Quota plein, persistance accordée/refusée, mode privé et éviction restent à vérifier.</x:v>
      </x:c>
      <x:c r="L31" s="15" t="str"/>
      <x:c r="M31" s="12" t="str">
        <x:v>web/durable.js; web/persistence.js; web/maintenance.js; tests/browser-origin.cjs; docs/qa/current.json</x:v>
      </x:c>
    </x:row>
    <x:row r="32" ht="62" customHeight="1">
      <x:c r="A32" s="13" t="str">
        <x:v>FG-025</x:v>
      </x:c>
      <x:c r="B32" s="13" t="str">
        <x:v>P0</x:v>
      </x:c>
      <x:c r="C32" s="14" t="str">
        <x:v>Partiel</x:v>
      </x:c>
      <x:c r="D32" s="11" t="str">
        <x:v>Web et PWA</x:v>
      </x:c>
      <x:c r="E32" s="11" t="str">
        <x:v>Web / PC</x:v>
      </x:c>
      <x:c r="F32" s="12" t="str">
        <x:v>Vérifier les conflits de deux fenêtres réelles</x:v>
      </x:c>
      <x:c r="G32" s="12" t="str">
        <x:v>Verrou entre deux onglets et transfert de contrôle exercés sur origine réelle dans Chrome 156 et ChromeHeadlessShell 151. Les conflits complexes et autres moteurs restent ouverts.</x:v>
      </x:c>
      <x:c r="H32" s="12" t="str">
        <x:v>Modifier le même média, importer et synchroniser dans deux fenêtres. Implémenter un verrou ou une résolution conservatrice si nécessaire.</x:v>
      </x:c>
      <x:c r="I32" s="12" t="str">
        <x:v>Aucune perte silencieuse de notes, lectures ou file d’envoi. Conflit détecté et action de reprise claire.</x:v>
      </x:c>
      <x:c r="J32" s="12" t="str">
        <x:v>FG-021</x:v>
      </x:c>
      <x:c r="K32" s="12" t="str">
        <x:v>Dans le groupe de 22 contrôles réussi sur chaque version Chrome : deux onglets, lecture seule et transfert du verrou. Scénarios avancés de concurrence et autres moteurs à compléter.</x:v>
      </x:c>
      <x:c r="L32" s="15" t="str"/>
      <x:c r="M32" s="12" t="str">
        <x:v>web/persistence.js; web/reliability-core.js; web/import-ui.js; tests/browser-origin.cjs; docs/qa/current.json</x:v>
      </x:c>
    </x:row>
    <x:row r="33" ht="48" customHeight="1">
      <x:c r="A33" s="13" t="str">
        <x:v>FG-026</x:v>
      </x:c>
      <x:c r="B33" s="13" t="str">
        <x:v>P1</x:v>
      </x:c>
      <x:c r="C33" s="14" t="str">
        <x:v>À valider</x:v>
      </x:c>
      <x:c r="D33" s="11" t="str">
        <x:v>Interface</x:v>
      </x:c>
      <x:c r="E33" s="11" t="str">
        <x:v>Web / PC</x:v>
      </x:c>
      <x:c r="F33" s="12" t="str">
        <x:v>Valider le parcours intégral au clavier</x:v>
      </x:c>
      <x:c r="G33" s="12" t="str">
        <x:v>Nombreux dialogues et actions dynamiques. Une recette clavier complète n’est pas fournie.</x:v>
      </x:c>
      <x:c r="H33" s="12" t="str">
        <x:v>Parcourir recherche, ajout, fiche, tri, import, comptes et confirmations avec Tab, Entrée et Échap. Corriger focus initial et retour.</x:v>
      </x:c>
      <x:c r="I33" s="12" t="str">
        <x:v>Tous les contrôles atteignables, focus visible, aucun piège de clavier et retour au déclencheur après fermeture.</x:v>
      </x:c>
      <x:c r="J33" s="12" t="str">
        <x:v>Aucune</x:v>
      </x:c>
      <x:c r="K33" s="12" t="str">
        <x:v>Non vérifié dans cette passe</x:v>
      </x:c>
      <x:c r="L33" s="15" t="str"/>
      <x:c r="M33" s="12" t="str">
        <x:v>web/app.js; web/app.css; web/import-ui.js; web/settings-ui.js</x:v>
      </x:c>
    </x:row>
    <x:row r="34" ht="49" customHeight="1">
      <x:c r="A34" s="13" t="str">
        <x:v>FG-027</x:v>
      </x:c>
      <x:c r="B34" s="13" t="str">
        <x:v>P1</x:v>
      </x:c>
      <x:c r="C34" s="14" t="str">
        <x:v>À valider</x:v>
      </x:c>
      <x:c r="D34" s="11" t="str">
        <x:v>Interface</x:v>
      </x:c>
      <x:c r="E34" s="11" t="str">
        <x:v>Toutes</x:v>
      </x:c>
      <x:c r="F34" s="12" t="str">
        <x:v>Qualifier lecteurs d’écran et annonces d’état</x:v>
      </x:c>
      <x:c r="G34" s="12" t="str">
        <x:v>Libellés et zones de statut existent ponctuellement. Leur couverture complète reste à examiner.</x:v>
      </x:c>
      <x:c r="H34" s="12" t="str">
        <x:v>Auditer noms accessibles, titres, boutons iconiques, erreurs et annonces asynchrones sur Web et TalkBack Android.</x:v>
      </x:c>
      <x:c r="I34" s="12" t="str">
        <x:v>Ajouter, suivre, exporter et récupérer une erreur sans dépendre des seules images ou couleurs.</x:v>
      </x:c>
      <x:c r="J34" s="12" t="str">
        <x:v>FG-009</x:v>
      </x:c>
      <x:c r="K34" s="12" t="str">
        <x:v>Non vérifié dans cette passe</x:v>
      </x:c>
      <x:c r="L34" s="15" t="str"/>
      <x:c r="M34" s="12" t="str">
        <x:v>web/index.html; web/app.js; app/src/main/java/com/franchiseguide/app/ui/</x:v>
      </x:c>
    </x:row>
    <x:row r="35" ht="49" customHeight="1">
      <x:c r="A35" s="13" t="str">
        <x:v>FG-028</x:v>
      </x:c>
      <x:c r="B35" s="13" t="str">
        <x:v>P2</x:v>
      </x:c>
      <x:c r="C35" s="14" t="str">
        <x:v>À valider</x:v>
      </x:c>
      <x:c r="D35" s="11" t="str">
        <x:v>Interface</x:v>
      </x:c>
      <x:c r="E35" s="11" t="str">
        <x:v>Toutes</x:v>
      </x:c>
      <x:c r="F35" s="12" t="str">
        <x:v>Vérifier contrastes, zoom et mouvement réduit</x:v>
      </x:c>
      <x:c r="G35" s="12" t="str">
        <x:v>Thèmes et CSS présents. Aucune qualification visuelle globale n’est établie.</x:v>
      </x:c>
      <x:c r="H35" s="12" t="str">
        <x:v>Tester thèmes, agrandissement de texte/zoom et préférence de mouvement réduit. Corriger contrastes et animations concernées.</x:v>
      </x:c>
      <x:c r="I35" s="12" t="str">
        <x:v>Textes et états lisibles. Actions utilisables avec texte agrandi. Animations décoratives réduites sur demande.</x:v>
      </x:c>
      <x:c r="J35" s="12" t="str">
        <x:v>Aucune</x:v>
      </x:c>
      <x:c r="K35" s="12" t="str">
        <x:v>Non vérifié dans cette passe</x:v>
      </x:c>
      <x:c r="L35" s="15" t="str"/>
      <x:c r="M35" s="12" t="str">
        <x:v>web/app.css; app/src/main/java/com/franchiseguide/app/ui/theme/Theme.kt</x:v>
      </x:c>
    </x:row>
    <x:row r="36" ht="62" customHeight="1">
      <x:c r="A36" s="13" t="str">
        <x:v>FG-029</x:v>
      </x:c>
      <x:c r="B36" s="13" t="str">
        <x:v>P1</x:v>
      </x:c>
      <x:c r="C36" s="14" t="str">
        <x:v>À valider</x:v>
      </x:c>
      <x:c r="D36" s="11" t="str">
        <x:v>Interface</x:v>
      </x:c>
      <x:c r="E36" s="11" t="str">
        <x:v>Toutes</x:v>
      </x:c>
      <x:c r="F36" s="12" t="str">
        <x:v>Parcourir les écrans sur téléphone et grand écran</x:v>
      </x:c>
      <x:c r="G36" s="12" t="str">
        <x:v>Écran Web contrôlé à 390 px dans Chrome réel, sans débordement. La matrice de tailles, les claviers virtuels et les appareils Android restent à qualifier.</x:v>
      </x:c>
      <x:c r="H36" s="12" t="str">
        <x:v>Exercer petites largeurs, paysage, écrans tactiles et grandes bibliothèques. Corriger débordements, menus et champs masqués.</x:v>
      </x:c>
      <x:c r="I36" s="12" t="str">
        <x:v>Pas de bouton inaccessible ni texte essentiel coupé. Les fiches et dialogues restent utilisables avec le clavier virtuel.</x:v>
      </x:c>
      <x:c r="J36" s="12" t="str">
        <x:v>FG-009</x:v>
      </x:c>
      <x:c r="K36" s="12" t="str">
        <x:v>Chrome 156 et ChromeHeadlessShell 151 à 390 px sans débordement dans tests/browser-origin.cjs. Autres largeurs, paysage, clavier virtuel et Android appareil à compléter.</x:v>
      </x:c>
      <x:c r="L36" s="15" t="str"/>
      <x:c r="M36" s="12" t="str">
        <x:v>web/app.css; web/views.js; app/src/main/java/com/franchiseguide/app/ui/; docs/qa/current.json</x:v>
      </x:c>
    </x:row>
    <x:row r="37" ht="48" customHeight="1">
      <x:c r="A37" s="13" t="str">
        <x:v>FG-030</x:v>
      </x:c>
      <x:c r="B37" s="13" t="str">
        <x:v>P2</x:v>
      </x:c>
      <x:c r="C37" s="14" t="str">
        <x:v>Partiel</x:v>
      </x:c>
      <x:c r="D37" s="11" t="str">
        <x:v>Web et PWA</x:v>
      </x:c>
      <x:c r="E37" s="11" t="str">
        <x:v>Web / PC</x:v>
      </x:c>
      <x:c r="F37" s="12" t="str">
        <x:v>Vérifier raccourcis, liens directs et navigation arrière</x:v>
      </x:c>
      <x:c r="G37" s="12" t="str">
        <x:v>Le manifest propose Franchises et Agenda. L’ensemble des parcours et raccourcis utiles doit être exercé.</x:v>
      </x:c>
      <x:c r="H37" s="12" t="str">
        <x:v>Tester URL initiale, retour/avance, liens de notifications et reprise. Ajouter des raccourcis utiles uniquement s’ils ouvrent une route existante.</x:v>
      </x:c>
      <x:c r="I37" s="12" t="str">
        <x:v>Chaque lien ouvre le bon écran sans perdre contexte ou brouillon. Retour ne termine pas une opération à tort.</x:v>
      </x:c>
      <x:c r="J37" s="12" t="str">
        <x:v>FG-021</x:v>
      </x:c>
      <x:c r="K37" s="12" t="str">
        <x:v>Non vérifié dans cette passe</x:v>
      </x:c>
      <x:c r="L37" s="15" t="str"/>
      <x:c r="M37" s="12" t="str">
        <x:v>web/manifest.webmanifest; web/startup.js; web/app.js</x:v>
      </x:c>
    </x:row>
    <x:row r="38" ht="49" customHeight="1">
      <x:c r="A38" s="13" t="str">
        <x:v>FG-031</x:v>
      </x:c>
      <x:c r="B38" s="13" t="str">
        <x:v>P1</x:v>
      </x:c>
      <x:c r="C38" s="14" t="str">
        <x:v>À valider</x:v>
      </x:c>
      <x:c r="D38" s="11" t="str">
        <x:v>Trakt</x:v>
      </x:c>
      <x:c r="E38" s="11" t="str">
        <x:v>Toutes</x:v>
      </x:c>
      <x:c r="F38" s="12" t="str">
        <x:v>Exécuter la connexion Trakt avec un compte réel</x:v>
      </x:c>
      <x:c r="G38" s="12" t="str">
        <x:v>Flux appareil, jetons et contrôles de contexte présents. Les réponses historiques étaient simulées.</x:v>
      </x:c>
      <x:c r="H38" s="12" t="str">
        <x:v>Tester autorisation, refus, expiration, refresh, reconnexion et déconnexion avec application et compte de test autorisés.</x:v>
      </x:c>
      <x:c r="I38" s="12" t="str">
        <x:v>Identité affichée correcte. Ancienne réponse ou ancien jeton inutilisable après changement de compte/application.</x:v>
      </x:c>
      <x:c r="J38" s="12" t="str">
        <x:v>Aucune</x:v>
      </x:c>
      <x:c r="K38" s="12" t="str">
        <x:v>Non vérifié dans cette passe</x:v>
      </x:c>
      <x:c r="L38" s="15" t="str"/>
      <x:c r="M38" s="12" t="str">
        <x:v>web/trakt.js; web/settings-ui.js; app/src/main/java/com/franchiseguide/app/network/TraktClient.kt</x:v>
      </x:c>
    </x:row>
    <x:row r="39" ht="49" customHeight="1">
      <x:c r="A39" s="13" t="str">
        <x:v>FG-032</x:v>
      </x:c>
      <x:c r="B39" s="13" t="str">
        <x:v>P0</x:v>
      </x:c>
      <x:c r="C39" s="14" t="str">
        <x:v>À valider</x:v>
      </x:c>
      <x:c r="D39" s="11" t="str">
        <x:v>Trakt</x:v>
      </x:c>
      <x:c r="E39" s="11" t="str">
        <x:v>Toutes</x:v>
      </x:c>
      <x:c r="F39" s="12" t="str">
        <x:v>Valider une synchronisation bidirectionnelle complète</x:v>
      </x:c>
      <x:c r="G39" s="12" t="str">
        <x:v>Historique, notes, collection et watchlist sont implémentés, avec file locale et protections.</x:v>
      </x:c>
      <x:c r="H39" s="12" t="str">
        <x:v>Tester depuis deux clients avec lectures et modifications distantes réelles. Vérifier périmètre des données et absence d’envoi global involontaire.</x:v>
      </x:c>
      <x:c r="I39" s="12" t="str">
        <x:v>Compte et suivi local convergent sans doublon ni suppression imprévue. Données sans identité distante restent locales.</x:v>
      </x:c>
      <x:c r="J39" s="12" t="str">
        <x:v>FG-031</x:v>
      </x:c>
      <x:c r="K39" s="12" t="str">
        <x:v>Non vérifié dans cette passe</x:v>
      </x:c>
      <x:c r="L39" s="15" t="str"/>
      <x:c r="M39" s="12" t="str">
        <x:v>web/trakt.js; web/sync-policy.js; app/src/main/java/com/franchiseguide/app/data/AppRepository.kt</x:v>
      </x:c>
    </x:row>
    <x:row r="40" ht="49" customHeight="1">
      <x:c r="A40" s="13" t="str">
        <x:v>FG-033</x:v>
      </x:c>
      <x:c r="B40" s="13" t="str">
        <x:v>P0</x:v>
      </x:c>
      <x:c r="C40" s="14" t="str">
        <x:v>À valider</x:v>
      </x:c>
      <x:c r="D40" s="11" t="str">
        <x:v>Trakt</x:v>
      </x:c>
      <x:c r="E40" s="11" t="str">
        <x:v>Toutes</x:v>
      </x:c>
      <x:c r="F40" s="12" t="str">
        <x:v>Qualifier la reprise d’écriture distante incertaine</x:v>
      </x:c>
      <x:c r="G40" s="12" t="str">
        <x:v>Les états incertains et suspendus sont conservés. Les coupures réelles et réponses perdues demandent une recette.</x:v>
      </x:c>
      <x:c r="H40" s="12" t="str">
        <x:v>Interrompre avant et après acceptation distante, puis vérifier/réconcilier sans réémettre aveuglément. Tester 429, 401 et retour réseau.</x:v>
      </x:c>
      <x:c r="I40" s="12" t="str">
        <x:v>Une action distante acceptée une fois ne crée pas deux lectures. Échec vérifiable et reprise explicite.</x:v>
      </x:c>
      <x:c r="J40" s="12" t="str">
        <x:v>FG-031</x:v>
      </x:c>
      <x:c r="K40" s="12" t="str">
        <x:v>Non vérifié dans cette passe</x:v>
      </x:c>
      <x:c r="L40" s="15" t="str"/>
      <x:c r="M40" s="12" t="str">
        <x:v>web/sync-center.js; web/sync-policy.js; docs/SYNC_CENTER.md</x:v>
      </x:c>
    </x:row>
    <x:row r="41" ht="49" customHeight="1">
      <x:c r="A41" s="13" t="str">
        <x:v>FG-034</x:v>
      </x:c>
      <x:c r="B41" s="13" t="str">
        <x:v>P0</x:v>
      </x:c>
      <x:c r="C41" s="14" t="str">
        <x:v>À valider</x:v>
      </x:c>
      <x:c r="D41" s="11" t="str">
        <x:v>Trakt</x:v>
      </x:c>
      <x:c r="E41" s="11" t="str">
        <x:v>Toutes</x:v>
      </x:c>
      <x:c r="F41" s="12" t="str">
        <x:v>Vérifier les check-ins et leur fin sur Trakt réel</x:v>
      </x:c>
      <x:c r="G41" s="12" t="str">
        <x:v>Démarrage, fin, annulation et lecture d’historique à durée atteinte sont présents en V0.35.</x:v>
      </x:c>
      <x:c r="H41" s="12" t="str">
        <x:v>Tester films/épisodes, fin anticipée, durée atteinte, historique retardé et changement de compte.</x:v>
      </x:c>
      <x:c r="I41" s="12" t="str">
        <x:v>Jamais de seconde écriture d’historique pour un même check-in confirmé. Date distante appliquée après confirmation exploitable.</x:v>
      </x:c>
      <x:c r="J41" s="12" t="str">
        <x:v>FG-031</x:v>
      </x:c>
      <x:c r="K41" s="12" t="str">
        <x:v>Non vérifié dans cette passe</x:v>
      </x:c>
      <x:c r="L41" s="15" t="str"/>
      <x:c r="M41" s="12" t="str">
        <x:v>web/trakt-checkin-core.js; web/trakt-checkin-ui.js; docs/CHECKINS_AUJOURDHUI_ET_SAUVEGARDES.md</x:v>
      </x:c>
    </x:row>
    <x:row r="42" ht="49" customHeight="1">
      <x:c r="A42" s="13" t="str">
        <x:v>FG-035</x:v>
      </x:c>
      <x:c r="B42" s="13" t="str">
        <x:v>P0</x:v>
      </x:c>
      <x:c r="C42" s="14" t="str">
        <x:v>Partiel</x:v>
      </x:c>
      <x:c r="D42" s="11" t="str">
        <x:v>Trakt</x:v>
      </x:c>
      <x:c r="E42" s="11" t="str">
        <x:v>Toutes</x:v>
      </x:c>
      <x:c r="F42" s="12" t="str">
        <x:v>Appliquer les gardes de diffusion à tous les suivis</x:v>
      </x:c>
      <x:c r="G42" s="12" t="str">
        <x:v>Les lots d’épisodes protègent futurs et inconnus. Tous les points d’entrée individuels/check-ins doivent être cohérents.</x:v>
      </x:c>
      <x:c r="H42" s="12" t="str">
        <x:v>Auditer chaque action vu/terminer/check-in, bloquer une diffusion future et traiter explicitement date inconnue et fuseau.</x:v>
      </x:c>
      <x:c r="I42" s="12" t="str">
        <x:v>Même protection dans fiche, liste, saison et check-in. Pas d’écriture distante interdite ou de suivi local faussement confirmé.</x:v>
      </x:c>
      <x:c r="J42" s="12" t="str">
        <x:v>Aucune</x:v>
      </x:c>
      <x:c r="K42" s="12" t="str">
        <x:v>Points d’entrée d’épisodes futurs audités. Aucune correction globale livrée dans cette passe ; recette et harmonisation restent ouvertes.</x:v>
      </x:c>
      <x:c r="L42" s="15" t="str"/>
      <x:c r="M42" s="12" t="str">
        <x:v>web/episodes-core.js; web/app.js; web/trakt-checkin-ui.js; app/src/main/java/com/franchiseguide/app/data/AppRepository.kt</x:v>
      </x:c>
    </x:row>
    <x:row r="43" ht="49" customHeight="1">
      <x:c r="A43" s="13" t="str">
        <x:v>FG-036</x:v>
      </x:c>
      <x:c r="B43" s="13" t="str">
        <x:v>P1</x:v>
      </x:c>
      <x:c r="C43" s="14" t="str">
        <x:v>À développer</x:v>
      </x:c>
      <x:c r="D43" s="11" t="str">
        <x:v>Trakt</x:v>
      </x:c>
      <x:c r="E43" s="11" t="str">
        <x:v>Toutes</x:v>
      </x:c>
      <x:c r="F43" s="12" t="str">
        <x:v>Terminer les check-ins lorsque l’application est fermée</x:v>
      </x:c>
      <x:c r="G43" s="12" t="str">
        <x:v>La base ne planifie pas une fin Web/PC fermée. Le natif ne possède pas de tâche de fin qualifiée.</x:v>
      </x:c>
      <x:c r="H43" s="12" t="str">
        <x:v>Définir l’automatisme compatible avec chaque plateforme, sa reprise et son opt-in. Ne pas créer un faux service permanent sur navigateur.</x:v>
      </x:c>
      <x:c r="I43" s="12" t="str">
        <x:v>Comportement fermé/veille expliqué et testé. Reprise vérifie l’historique avant toute éventuelle écriture.</x:v>
      </x:c>
      <x:c r="J43" s="12" t="str">
        <x:v>FG-011, FG-034</x:v>
      </x:c>
      <x:c r="K43" s="12" t="str">
        <x:v>Non vérifié dans cette passe</x:v>
      </x:c>
      <x:c r="L43" s="15" t="str"/>
      <x:c r="M43" s="12" t="str">
        <x:v>docs/FEATURE_MATRIX.md; web/trakt-checkin-ui.js; app/src/main/java/com/franchiseguide/app/sync/TraktSyncWorker.kt</x:v>
      </x:c>
    </x:row>
    <x:row r="44" ht="49" customHeight="1">
      <x:c r="A44" s="13" t="str">
        <x:v>FG-037</x:v>
      </x:c>
      <x:c r="B44" s="13" t="str">
        <x:v>P1</x:v>
      </x:c>
      <x:c r="C44" s="14" t="str">
        <x:v>Partiel</x:v>
      </x:c>
      <x:c r="D44" s="11" t="str">
        <x:v>Trakt</x:v>
      </x:c>
      <x:c r="E44" s="11" t="str">
        <x:v>Toutes</x:v>
      </x:c>
      <x:c r="F44" s="12" t="str">
        <x:v>Clarifier les conflits et suppressions distants</x:v>
      </x:c>
      <x:c r="G44" s="12" t="str">
        <x:v>La file privilégie la conservation et suspend certaines opérations. Une suppression locale n’est pas forcément une suppression Trakt.</x:v>
      </x:c>
      <x:c r="H44" s="12" t="str">
        <x:v>Exposer portée locale/distante, aperçu et résolution des conflits pour notes, collection, watchlist et historique.</x:v>
      </x:c>
      <x:c r="I44" s="12" t="str">
        <x:v>Un retrait ou changement concurrent ne se propage qu’avec l’intention prévue. Historique irréversible protégé par confirmation.</x:v>
      </x:c>
      <x:c r="J44" s="12" t="str">
        <x:v>FG-032</x:v>
      </x:c>
      <x:c r="K44" s="12" t="str">
        <x:v>Non vérifié dans cette passe</x:v>
      </x:c>
      <x:c r="L44" s="15" t="str"/>
      <x:c r="M44" s="12" t="str">
        <x:v>web/sync-center.js; web/sync-policy.js; docs/IMPORTS_ET_RESTAURATION.md</x:v>
      </x:c>
    </x:row>
    <x:row r="45" ht="49" customHeight="1">
      <x:c r="A45" s="13" t="str">
        <x:v>FG-038</x:v>
      </x:c>
      <x:c r="B45" s="13" t="str">
        <x:v>P1</x:v>
      </x:c>
      <x:c r="C45" s="14" t="str">
        <x:v>Partiel</x:v>
      </x:c>
      <x:c r="D45" s="11" t="str">
        <x:v>Trakt</x:v>
      </x:c>
      <x:c r="E45" s="11" t="str">
        <x:v>Toutes</x:v>
      </x:c>
      <x:c r="F45" s="12" t="str">
        <x:v>Relier les œuvres publiques aux identités Trakt</x:v>
      </x:c>
      <x:c r="G45" s="12" t="str">
        <x:v>Les IDs TVmaze ne sont pas des IDs TMDb. Le rapprochement complet vers Trakt n’est pas livré.</x:v>
      </x:c>
      <x:c r="H45" s="12" t="str">
        <x:v>Ajouter résolution vérifiée via identifiants externes disponibles et confirmation des ambiguïtés. Garder les suivis d’épisodes attachés à la bonne identité.</x:v>
      </x:c>
      <x:c r="I45" s="12" t="str">
        <x:v>Aucun appariement par titre seul. Série, saison, épisode et historique restent corrects après association.</x:v>
      </x:c>
      <x:c r="J45" s="12" t="str">
        <x:v>FG-031</x:v>
      </x:c>
      <x:c r="K45" s="12" t="str">
        <x:v>Non vérifié dans cette passe</x:v>
      </x:c>
      <x:c r="L45" s="15" t="str"/>
      <x:c r="M45" s="12" t="str">
        <x:v>docs/AUTOMATIC_SERVICES.md; web/tvmaze-detail-core.js; app/src/main/java/com/franchiseguide/app/data/MediaIdentityCodec.kt</x:v>
      </x:c>
    </x:row>
    <x:row r="46" ht="49" customHeight="1">
      <x:c r="A46" s="13" t="str">
        <x:v>FG-039</x:v>
      </x:c>
      <x:c r="B46" s="13" t="str">
        <x:v>P1</x:v>
      </x:c>
      <x:c r="C46" s="14" t="str">
        <x:v>À valider</x:v>
      </x:c>
      <x:c r="D46" s="11" t="str">
        <x:v>Trakt</x:v>
      </x:c>
      <x:c r="E46" s="11" t="str">
        <x:v>Toutes</x:v>
      </x:c>
      <x:c r="F46" s="12" t="str">
        <x:v>Qualifier avis, spoilers et actions publiques</x:v>
      </x:c>
      <x:c r="G46" s="12" t="str">
        <x:v>Avis/commentaires Trakt et brouillons sont présents.</x:v>
      </x:c>
      <x:c r="H46" s="12" t="str">
        <x:v>Tester lecture, rédaction, validation, annulation, erreur distante et changement de compte avec données de test autorisées.</x:v>
      </x:c>
      <x:c r="I46" s="12" t="str">
        <x:v>Aucune publication sans confirmation. Brouillon conservé après erreur et spoilers masqués selon choix.</x:v>
      </x:c>
      <x:c r="J46" s="12" t="str">
        <x:v>FG-031</x:v>
      </x:c>
      <x:c r="K46" s="12" t="str">
        <x:v>Non vérifié dans cette passe</x:v>
      </x:c>
      <x:c r="L46" s="15" t="str"/>
      <x:c r="M46" s="12" t="str">
        <x:v>web/reviews.js; app/src/main/java/com/franchiseguide/app/ui/TraktReviewsPanel.kt</x:v>
      </x:c>
    </x:row>
    <x:row r="47" ht="49" customHeight="1">
      <x:c r="A47" s="13" t="str">
        <x:v>FG-040</x:v>
      </x:c>
      <x:c r="B47" s="13" t="str">
        <x:v>P1</x:v>
      </x:c>
      <x:c r="C47" s="14" t="str">
        <x:v>À valider</x:v>
      </x:c>
      <x:c r="D47" s="11" t="str">
        <x:v>Trakt</x:v>
      </x:c>
      <x:c r="E47" s="11" t="str">
        <x:v>Toutes</x:v>
      </x:c>
      <x:c r="F47" s="12" t="str">
        <x:v>Vérifier les limites de pagination et quotas réels</x:v>
      </x:c>
      <x:c r="G47" s="12" t="str">
        <x:v>Bornes, retries et reprise existent. Les limites observées avec de grands comptes ne sont pas établies.</x:v>
      </x:c>
      <x:c r="H47" s="12" t="str">
        <x:v>Exercer historiques et listes paginés, réponse incomplète, total variable et délai fournisseur. Afficher la progression et les données différées.</x:v>
      </x:c>
      <x:c r="I47" s="12" t="str">
        <x:v>Pas de succès complet si une page manque. Reprise sans recharger inutilement ni écraser le relevé valide.</x:v>
      </x:c>
      <x:c r="J47" s="12" t="str">
        <x:v>FG-031</x:v>
      </x:c>
      <x:c r="K47" s="12" t="str">
        <x:v>Non vérifié dans cette passe</x:v>
      </x:c>
      <x:c r="L47" s="15" t="str"/>
      <x:c r="M47" s="12" t="str">
        <x:v>web/trakt.js; web/network.js; app/src/main/java/com/franchiseguide/app/network/TraktClient.kt</x:v>
      </x:c>
    </x:row>
    <x:row r="48" ht="49" customHeight="1">
      <x:c r="A48" s="13" t="str">
        <x:v>FG-041</x:v>
      </x:c>
      <x:c r="B48" s="13" t="str">
        <x:v>P1</x:v>
      </x:c>
      <x:c r="C48" s="14" t="str">
        <x:v>À valider</x:v>
      </x:c>
      <x:c r="D48" s="11" t="str">
        <x:v>Données</x:v>
      </x:c>
      <x:c r="E48" s="11" t="str">
        <x:v>Toutes</x:v>
      </x:c>
      <x:c r="F48" s="12" t="str">
        <x:v>Vérifier fuseaux et changements d’heure</x:v>
      </x:c>
      <x:c r="G48" s="12" t="str">
        <x:v>Règles de dates/historique présentes. Les frontières de jour doivent être recettées sur plateformes réelles.</x:v>
      </x:c>
      <x:c r="H48" s="12" t="str">
        <x:v>Tester UTC, Europe/Paris, changement d’heure, voyage et date sans heure. Distinguer diffusion fournisseur et jour d’activité personnel.</x:v>
      </x:c>
      <x:c r="I48" s="12" t="str">
        <x:v>Agenda, Aujourd’hui, notifications et statistiques attribuent le même événement au jour prévu, sans date inventée.</x:v>
      </x:c>
      <x:c r="J48" s="12" t="str">
        <x:v>Aucune</x:v>
      </x:c>
      <x:c r="K48" s="12" t="str">
        <x:v>Non vérifié dans cette passe</x:v>
      </x:c>
      <x:c r="L48" s="15" t="str"/>
      <x:c r="M48" s="12" t="str">
        <x:v>web/activity-core.js; web/today-core.js; app/src/main/java/com/franchiseguide/app/model/ActivityRules.kt</x:v>
      </x:c>
    </x:row>
    <x:row r="49" ht="49" customHeight="1">
      <x:c r="A49" s="13" t="str">
        <x:v>FG-042</x:v>
      </x:c>
      <x:c r="B49" s="13" t="str">
        <x:v>P0</x:v>
      </x:c>
      <x:c r="C49" s="14" t="str">
        <x:v>À valider</x:v>
      </x:c>
      <x:c r="D49" s="11" t="str">
        <x:v>Catalogues</x:v>
      </x:c>
      <x:c r="E49" s="11" t="str">
        <x:v>Toutes</x:v>
      </x:c>
      <x:c r="F49" s="12" t="str">
        <x:v>Vérifier l’ajout complet de séries réelles</x:v>
      </x:c>
      <x:c r="G49" s="12" t="str">
        <x:v>Import complet et indicateur de données incomplètes existent. La qualité réelle varie selon source et série.</x:v>
      </x:c>
      <x:c r="H49" s="12" t="str">
        <x:v>Tester séries longues, spéciales, saisons à venir, pagination, interruption et reprise. Contrôler nombre attendu et identités d’épisodes.</x:v>
      </x:c>
      <x:c r="I49" s="12" t="str">
        <x:v>Aucune série incomplète affichée complète. Réparation préserve notes et historique déjà présents.</x:v>
      </x:c>
      <x:c r="J49" s="12" t="str">
        <x:v>Aucune</x:v>
      </x:c>
      <x:c r="K49" s="12" t="str">
        <x:v>Non vérifié dans cette passe</x:v>
      </x:c>
      <x:c r="L49" s="15" t="str"/>
      <x:c r="M49" s="12" t="str">
        <x:v>web/catalog-core.js; web/app.js; app/src/main/java/com/franchiseguide/app/network/TmdbClient.kt</x:v>
      </x:c>
    </x:row>
    <x:row r="50" ht="48" customHeight="1">
      <x:c r="A50" s="13" t="str">
        <x:v>FG-043</x:v>
      </x:c>
      <x:c r="B50" s="13" t="str">
        <x:v>P1</x:v>
      </x:c>
      <x:c r="C50" s="14" t="str">
        <x:v>À valider</x:v>
      </x:c>
      <x:c r="D50" s="11" t="str">
        <x:v>Catalogues</x:v>
      </x:c>
      <x:c r="E50" s="11" t="str">
        <x:v>Toutes</x:v>
      </x:c>
      <x:c r="F50" s="12" t="str">
        <x:v>Valider miniatures et images de repli</x:v>
      </x:c>
      <x:c r="G50" s="12" t="str">
        <x:v>Affiches, portraits et repli sont implémentés. Certains fournisseurs n’offrent pas une couverture complète.</x:v>
      </x:c>
      <x:c r="H50" s="12" t="str">
        <x:v>Tester images présentes, absentes, expirées, hors ligne et refusées. Vérifier proportions, chargement différé et cache.</x:v>
      </x:c>
      <x:c r="I50" s="12" t="str">
        <x:v>Chaque carte garde titre et action lisibles sans image. Une image manquante ne provoque pas des requêtes sans fin.</x:v>
      </x:c>
      <x:c r="J50" s="12" t="str">
        <x:v>Aucune</x:v>
      </x:c>
      <x:c r="K50" s="12" t="str">
        <x:v>Non vérifié dans cette passe</x:v>
      </x:c>
      <x:c r="L50" s="15" t="str"/>
      <x:c r="M50" s="12" t="str">
        <x:v>web/app.js; web/sw.js; app/src/main/java/com/franchiseguide/app/ui/Components.kt</x:v>
      </x:c>
    </x:row>
    <x:row r="51" ht="48" customHeight="1">
      <x:c r="A51" s="13" t="str">
        <x:v>FG-044</x:v>
      </x:c>
      <x:c r="B51" s="13" t="str">
        <x:v>P1</x:v>
      </x:c>
      <x:c r="C51" s="14" t="str">
        <x:v>À valider</x:v>
      </x:c>
      <x:c r="D51" s="11" t="str">
        <x:v>Catalogues</x:v>
      </x:c>
      <x:c r="E51" s="11" t="str">
        <x:v>Toutes</x:v>
      </x:c>
      <x:c r="F51" s="12" t="str">
        <x:v>Exercer les catalogues publics sur le réseau réel</x:v>
      </x:c>
      <x:c r="G51" s="12" t="str">
        <x:v>TVmaze, Apple/iTunes, FreeToGame et Open Library ont des clients. La base ne prouve pas des appels réels réussis.</x:v>
      </x:c>
      <x:c r="H51" s="12" t="str">
        <x:v>Tester recherche, détail, pagination et indisponibilité de chaque source via les canaux supportés.</x:v>
      </x:c>
      <x:c r="I51" s="12" t="str">
        <x:v>Résultats exacts et erreurs explicites. Périmètre limité de chaque catalogue expliqué dans l’application.</x:v>
      </x:c>
      <x:c r="J51" s="12" t="str">
        <x:v>Aucune</x:v>
      </x:c>
      <x:c r="K51" s="12" t="str">
        <x:v>Non vérifié dans cette passe</x:v>
      </x:c>
      <x:c r="L51" s="15" t="str"/>
      <x:c r="M51" s="12" t="str">
        <x:v>server/auto-services.cjs; web/autosetup-core.js; docs/AUTOMATIC_SERVICES.md</x:v>
      </x:c>
    </x:row>
    <x:row r="52" ht="49" customHeight="1">
      <x:c r="A52" s="13" t="str">
        <x:v>FG-045</x:v>
      </x:c>
      <x:c r="B52" s="13" t="str">
        <x:v>P1</x:v>
      </x:c>
      <x:c r="C52" s="14" t="str">
        <x:v>Partiel</x:v>
      </x:c>
      <x:c r="D52" s="11" t="str">
        <x:v>Catalogues</x:v>
      </x:c>
      <x:c r="E52" s="11" t="str">
        <x:v>Toutes</x:v>
      </x:c>
      <x:c r="F52" s="12" t="str">
        <x:v>Activer les catalogues complets avec accès opérateur</x:v>
      </x:c>
      <x:c r="G52" s="12" t="str">
        <x:v>TMDb et RAWG nécessitent une configuration légitime. Aucun accès éditeur réel n’est inclus.</x:v>
      </x:c>
      <x:c r="H52" s="12" t="str">
        <x:v>Configurer les accès autorisés côté service ou build approprié, tester capacités et message d’absence de configuration.</x:v>
      </x:c>
      <x:c r="I52" s="12" t="str">
        <x:v>Recherche étendue disponible sans demande de secret serveur à l’utilisateur final. Accès absents correctement signalés.</x:v>
      </x:c>
      <x:c r="J52" s="12" t="str">
        <x:v>Aucune</x:v>
      </x:c>
      <x:c r="K52" s="12" t="str">
        <x:v>Non vérifié dans cette passe</x:v>
      </x:c>
      <x:c r="L52" s="15" t="str"/>
      <x:c r="M52" s="12" t="str">
        <x:v>server/auto-services.cjs; web/services-runtime.js; docs/AUTOMATIC_SERVICES.md</x:v>
      </x:c>
    </x:row>
    <x:row r="53" ht="49" customHeight="1">
      <x:c r="A53" s="13" t="str">
        <x:v>FG-046</x:v>
      </x:c>
      <x:c r="B53" s="13" t="str">
        <x:v>P1</x:v>
      </x:c>
      <x:c r="C53" s="14" t="str">
        <x:v>À valider</x:v>
      </x:c>
      <x:c r="D53" s="11" t="str">
        <x:v>Catalogues</x:v>
      </x:c>
      <x:c r="E53" s="11" t="str">
        <x:v>Toutes</x:v>
      </x:c>
      <x:c r="F53" s="12" t="str">
        <x:v>Revoir l’identité entre sources et éditions</x:v>
      </x:c>
      <x:c r="G53" s="12" t="str">
        <x:v>Des gardes refusent des identités contradictoires. Les cas complexes restent à qualifier sur données réelles.</x:v>
      </x:c>
      <x:c r="H53" s="12" t="str">
        <x:v>Tester homonymes, remakes, séries animées, renommages, éditions et franchises. Préparer un rapprochement explicite lorsqu’il est nécessaire.</x:v>
      </x:c>
      <x:c r="I53" s="12" t="str">
        <x:v>Aucun suivi fusionné sur le seul titre. Conflits visibles et retour possible avant validation.</x:v>
      </x:c>
      <x:c r="J53" s="12" t="str">
        <x:v>Aucune</x:v>
      </x:c>
      <x:c r="K53" s="12" t="str">
        <x:v>Non vérifié dans cette passe</x:v>
      </x:c>
      <x:c r="L53" s="15" t="str"/>
      <x:c r="M53" s="12" t="str">
        <x:v>web/reliability-core.js; web/integrity.js; app/src/main/java/com/franchiseguide/app/data/MediaIdentityCodec.kt</x:v>
      </x:c>
    </x:row>
    <x:row r="54" ht="49" customHeight="1">
      <x:c r="A54" s="13" t="str">
        <x:v>FG-047</x:v>
      </x:c>
      <x:c r="B54" s="13" t="str">
        <x:v>P1</x:v>
      </x:c>
      <x:c r="C54" s="14" t="str">
        <x:v>À valider</x:v>
      </x:c>
      <x:c r="D54" s="11" t="str">
        <x:v>Catalogues</x:v>
      </x:c>
      <x:c r="E54" s="11" t="str">
        <x:v>Toutes</x:v>
      </x:c>
      <x:c r="F54" s="12" t="str">
        <x:v>Vérifier langues, casting et statuts de fiches</x:v>
      </x:c>
      <x:c r="G54" s="12" t="str">
        <x:v>Genres, notes, casting, statuts et langues de contenu existent. Leur exhaustivité dépend du fournisseur.</x:v>
      </x:c>
      <x:c r="H54" s="12" t="str">
        <x:v>Recetter changement de langue, absence de traduction, statut terminé/en cours et acteurs principaux/invités. Garder la provenance des notes.</x:v>
      </x:c>
      <x:c r="I54" s="12" t="str">
        <x:v>Métadonnées et leurs inconnues correctement présentées. Une note fournisseur ne remplace pas la note personnelle.</x:v>
      </x:c>
      <x:c r="J54" s="12" t="str">
        <x:v>Aucune</x:v>
      </x:c>
      <x:c r="K54" s="12" t="str">
        <x:v>Non vérifié dans cette passe</x:v>
      </x:c>
      <x:c r="L54" s="15" t="str"/>
      <x:c r="M54" s="12" t="str">
        <x:v>web/people.js; web/episode-detail-core.js; app/src/main/java/com/franchiseguide/app/ui/ContentLanguagePanel.kt</x:v>
      </x:c>
    </x:row>
    <x:row r="55" ht="48" customHeight="1">
      <x:c r="A55" s="13" t="str">
        <x:v>FG-048</x:v>
      </x:c>
      <x:c r="B55" s="13" t="str">
        <x:v>P1</x:v>
      </x:c>
      <x:c r="C55" s="14" t="str">
        <x:v>À valider</x:v>
      </x:c>
      <x:c r="D55" s="11" t="str">
        <x:v>Catalogues</x:v>
      </x:c>
      <x:c r="E55" s="11" t="str">
        <x:v>Toutes</x:v>
      </x:c>
      <x:c r="F55" s="12" t="str">
        <x:v>Qualifier les disponibilités par pays et saison</x:v>
      </x:c>
      <x:c r="G55" s="12" t="str">
        <x:v>Disponibilités TMDb/JustWatch distinguées par pays, type d’offre et portée.</x:v>
      </x:c>
      <x:c r="H55" s="12" t="str">
        <x:v>Tester plusieurs pays, saison absente, relevé vide, erreur et lien fournisseur réel. Revalider les attributions et conditions d’utilisation.</x:v>
      </x:c>
      <x:c r="I55" s="12" t="str">
        <x:v>Pays et date du relevé visibles. Aucune promesse de prix, accès ou lecture fondée sur un simple catalogue.</x:v>
      </x:c>
      <x:c r="J55" s="12" t="str">
        <x:v>FG-045</x:v>
      </x:c>
      <x:c r="K55" s="12" t="str">
        <x:v>Non vérifié dans cette passe</x:v>
      </x:c>
      <x:c r="L55" s="15" t="str"/>
      <x:c r="M55" s="12" t="str">
        <x:v>web/availability-core.js; web/availability-ui.js; docs/DISPONIBILITES.md</x:v>
      </x:c>
    </x:row>
    <x:row r="56" ht="49" customHeight="1">
      <x:c r="A56" s="13" t="str">
        <x:v>FG-049</x:v>
      </x:c>
      <x:c r="B56" s="13" t="str">
        <x:v>P1</x:v>
      </x:c>
      <x:c r="C56" s="14" t="str">
        <x:v>À valider</x:v>
      </x:c>
      <x:c r="D56" s="11" t="str">
        <x:v>Catalogues</x:v>
      </x:c>
      <x:c r="E56" s="11" t="str">
        <x:v>Toutes</x:v>
      </x:c>
      <x:c r="F56" s="12" t="str">
        <x:v>Vérifier recherche, annulation et résultats tardifs</x:v>
      </x:c>
      <x:c r="G56" s="12" t="str">
        <x:v>La recherche dispose de limites et de gardes de contexte.</x:v>
      </x:c>
      <x:c r="H56" s="12" t="str">
        <x:v>Tester frappe rapide, changement de catégorie/langue/source, annulation et réseau lent sur vrai navigateur/appareil.</x:v>
      </x:c>
      <x:c r="I56" s="12" t="str">
        <x:v>Un résultat ancien ne remplace pas la recherche courante. Ajout unique malgré double clic ou réponse répétée.</x:v>
      </x:c>
      <x:c r="J56" s="12" t="str">
        <x:v>FG-009</x:v>
      </x:c>
      <x:c r="K56" s="12" t="str">
        <x:v>Non vérifié dans cette passe</x:v>
      </x:c>
      <x:c r="L56" s="15" t="str"/>
      <x:c r="M56" s="12" t="str">
        <x:v>web/discovery-ui.js; web/network.js; app/src/main/java/com/franchiseguide/app/model/DiscoveryRules.kt</x:v>
      </x:c>
    </x:row>
    <x:row r="57" ht="48" customHeight="1">
      <x:c r="A57" s="13" t="str">
        <x:v>FG-050</x:v>
      </x:c>
      <x:c r="B57" s="13" t="str">
        <x:v>P2</x:v>
      </x:c>
      <x:c r="C57" s="14" t="str">
        <x:v>Partiel</x:v>
      </x:c>
      <x:c r="D57" s="11" t="str">
        <x:v>Catalogues</x:v>
      </x:c>
      <x:c r="E57" s="11" t="str">
        <x:v>Toutes</x:v>
      </x:c>
      <x:c r="F57" s="12" t="str">
        <x:v>Compléter la découverte sans bloquer les limites fournisseurs</x:v>
      </x:c>
      <x:c r="G57" s="12" t="str">
        <x:v>Découverte et scanner paginés existent, avec limites et pages par source.</x:v>
      </x:c>
      <x:c r="H57" s="12" t="str">
        <x:v>Affiner les filtres utiles par média, indiquer les sources épuisées et conserver une reprise après erreur sans recommencer les sources réussies.</x:v>
      </x:c>
      <x:c r="I57" s="12" t="str">
        <x:v>Filtres appliqués au périmètre annoncé. Aucune page ignorée ou répétée après erreur partielle.</x:v>
      </x:c>
      <x:c r="J57" s="12" t="str">
        <x:v>Aucune</x:v>
      </x:c>
      <x:c r="K57" s="12" t="str">
        <x:v>Non vérifié dans cette passe</x:v>
      </x:c>
      <x:c r="L57" s="15" t="str"/>
      <x:c r="M57" s="12" t="str">
        <x:v>web/discovery-core.js; web/discovery-ui.js; docs/DECOUVERTE_V033.md</x:v>
      </x:c>
    </x:row>
    <x:row r="58" ht="49" customHeight="1">
      <x:c r="A58" s="13" t="str">
        <x:v>FG-051</x:v>
      </x:c>
      <x:c r="B58" s="13" t="str">
        <x:v>P2</x:v>
      </x:c>
      <x:c r="C58" s="14" t="str">
        <x:v>À valider</x:v>
      </x:c>
      <x:c r="D58" s="11" t="str">
        <x:v>Catalogues</x:v>
      </x:c>
      <x:c r="E58" s="11" t="str">
        <x:v>Toutes</x:v>
      </x:c>
      <x:c r="F58" s="12" t="str">
        <x:v>Qualifier les fiches personnes et filmographies</x:v>
      </x:c>
      <x:c r="G58" s="12" t="str">
        <x:v>Personnes et crédits sont consultables, avec portée variable selon fournisseur.</x:v>
      </x:c>
      <x:c r="H58" s="12" t="str">
        <x:v>Vérifier homonymes, crédits multiples, pagination, invités et retour vers l’œuvre d’origine. Masquer les informations spoilers avant révélation.</x:v>
      </x:c>
      <x:c r="I58" s="12" t="str">
        <x:v>Chaque lien conserve la bonne identité et le retour attendu. Pas d’acteur fabriqué depuis un résultat incomplet.</x:v>
      </x:c>
      <x:c r="J58" s="12" t="str">
        <x:v>Aucune</x:v>
      </x:c>
      <x:c r="K58" s="12" t="str">
        <x:v>Non vérifié dans cette passe</x:v>
      </x:c>
      <x:c r="L58" s="15" t="str"/>
      <x:c r="M58" s="12" t="str">
        <x:v>web/people.js; web/episode-detail-ui.js; app/src/main/java/com/franchiseguide/app/ui/PersonDialog.kt</x:v>
      </x:c>
    </x:row>
    <x:row r="59" ht="49" customHeight="1">
      <x:c r="A59" s="13" t="str">
        <x:v>FG-052</x:v>
      </x:c>
      <x:c r="B59" s="13" t="str">
        <x:v>P0</x:v>
      </x:c>
      <x:c r="C59" s="14" t="str">
        <x:v>À valider</x:v>
      </x:c>
      <x:c r="D59" s="11" t="str">
        <x:v>Jeux et succès</x:v>
      </x:c>
      <x:c r="E59" s="11" t="str">
        <x:v>Web / PC</x:v>
      </x:c>
      <x:c r="F59" s="12" t="str">
        <x:v>Tester Steam OpenID avec un compte réel</x:v>
      </x:c>
      <x:c r="G59" s="12" t="str">
        <x:v>Vérification OpenID côté serveur et sessions locales existent. Aucun aller-retour réel qualifié dans la base.</x:v>
      </x:c>
      <x:c r="H59" s="12" t="str">
        <x:v>Tester connexion, annulation, Steam Guard via site officiel, retour, expiration, relance et déconnexion.</x:v>
      </x:c>
      <x:c r="I59" s="12" t="str">
        <x:v>Le bon SteamID est lié. Cookie/session révoqués à la déconnexion. Aucun secret de compte demandé par FranchiseGuide.</x:v>
      </x:c>
      <x:c r="J59" s="12" t="str">
        <x:v>Aucune</x:v>
      </x:c>
      <x:c r="K59" s="12" t="str">
        <x:v>Non vérifié dans cette passe</x:v>
      </x:c>
      <x:c r="L59" s="15" t="str"/>
      <x:c r="M59" s="12" t="str">
        <x:v>server/steam-auth.cjs; desktop/src/com/franchiseguide/desktop/SteamAuth.java; docs/STEAM_SIGN_IN.md</x:v>
      </x:c>
    </x:row>
    <x:row r="60" ht="48" customHeight="1">
      <x:c r="A60" s="13" t="str">
        <x:v>FG-053</x:v>
      </x:c>
      <x:c r="B60" s="13" t="str">
        <x:v>P1</x:v>
      </x:c>
      <x:c r="C60" s="14" t="str">
        <x:v>À valider</x:v>
      </x:c>
      <x:c r="D60" s="11" t="str">
        <x:v>Jeux et succès</x:v>
      </x:c>
      <x:c r="E60" s="11" t="str">
        <x:v>Web / PC</x:v>
      </x:c>
      <x:c r="F60" s="12" t="str">
        <x:v>Qualifier bibliothèque Steam, données privées et succès</x:v>
      </x:c>
      <x:c r="G60" s="12" t="str">
        <x:v>Import de jeux, métadonnées et succès existant. Profil privé et capacité sont traités conservativement.</x:v>
      </x:c>
      <x:c r="H60" s="12" t="str">
        <x:v>Tester profil accessible/privé, jeux sans succès, compte changé, grandes bibliothèques et liste partielle.</x:v>
      </x:c>
      <x:c r="I60" s="12" t="str">
        <x:v>Données privées signalées sans remplacer un relevé valide. Jeux/éditions et dates correctement liés au compte choisi.</x:v>
      </x:c>
      <x:c r="J60" s="12" t="str">
        <x:v>FG-052</x:v>
      </x:c>
      <x:c r="K60" s="12" t="str">
        <x:v>Non vérifié dans cette passe</x:v>
      </x:c>
      <x:c r="L60" s="15" t="str"/>
      <x:c r="M60" s="12" t="str">
        <x:v>web/steam-library.js; web/steam-connect.js; server/steam-bridge.cjs</x:v>
      </x:c>
    </x:row>
    <x:row r="61" ht="48" customHeight="1">
      <x:c r="A61" s="13" t="str">
        <x:v>FG-054</x:v>
      </x:c>
      <x:c r="B61" s="13" t="str">
        <x:v>P1</x:v>
      </x:c>
      <x:c r="C61" s="14" t="str">
        <x:v>À valider</x:v>
      </x:c>
      <x:c r="D61" s="11" t="str">
        <x:v>Jeux et succès</x:v>
      </x:c>
      <x:c r="E61" s="11" t="str">
        <x:v>Web / PC</x:v>
      </x:c>
      <x:c r="F61" s="12" t="str">
        <x:v>Tester RetroAchievements sur un profil réel</x:v>
      </x:c>
      <x:c r="G61" s="12" t="str">
        <x:v>Association publique, ULID, pagination et normal/Hardcore sont implémentés.</x:v>
      </x:c>
      <x:c r="H61" s="12" t="str">
        <x:v>Lire un profil autorisé, changer de pseudo, reprendre les pages et comparer les succès aux données du fournisseur.</x:v>
      </x:c>
      <x:c r="I61" s="12" t="str">
        <x:v>Identité stable, modes et dates exacts. Absence de données et refus distincts d’une progression zéro.</x:v>
      </x:c>
      <x:c r="J61" s="12" t="str">
        <x:v>Aucune</x:v>
      </x:c>
      <x:c r="K61" s="12" t="str">
        <x:v>Non vérifié dans cette passe</x:v>
      </x:c>
      <x:c r="L61" s="15" t="str"/>
      <x:c r="M61" s="12" t="str">
        <x:v>web/retro-core.js; web/retro-connect.js; server/retro-bridge.cjs</x:v>
      </x:c>
    </x:row>
    <x:row r="62" ht="48" customHeight="1">
      <x:c r="A62" s="13" t="str">
        <x:v>FG-055</x:v>
      </x:c>
      <x:c r="B62" s="13" t="str">
        <x:v>P1</x:v>
      </x:c>
      <x:c r="C62" s="14" t="str">
        <x:v>À valider</x:v>
      </x:c>
      <x:c r="D62" s="11" t="str">
        <x:v>Jeux et succès</x:v>
      </x:c>
      <x:c r="E62" s="11" t="str">
        <x:v>Web / PC</x:v>
      </x:c>
      <x:c r="F62" s="12" t="str">
        <x:v>Vérifier les lots et l’actualisation progressive</x:v>
      </x:c>
      <x:c r="G62" s="12" t="str">
        <x:v>Import initial borné à huit listes et actualisation optionnelle pendant application ouverte.</x:v>
      </x:c>
      <x:c r="H62" s="12" t="str">
        <x:v>Recetter pause, annulation, délais fournisseur, reprise, fenêtre invisible et listes différées faute de capacité.</x:v>
      </x:c>
      <x:c r="I62" s="12" t="str">
        <x:v>Progression du lot exacte. Pas de perte du dernier relevé. Automatisme désactivable et sans double exécution.</x:v>
      </x:c>
      <x:c r="J62" s="12" t="str">
        <x:v>FG-053, FG-054</x:v>
      </x:c>
      <x:c r="K62" s="12" t="str">
        <x:v>Non vérifié dans cette passe</x:v>
      </x:c>
      <x:c r="L62" s="15" t="str"/>
      <x:c r="M62" s="12" t="str">
        <x:v>web/gaming.js; web/steam-connect.js; web/retro-connect.js</x:v>
      </x:c>
    </x:row>
    <x:row r="63" ht="49" customHeight="1">
      <x:c r="A63" s="13" t="str">
        <x:v>FG-056</x:v>
      </x:c>
      <x:c r="B63" s="13" t="str">
        <x:v>P1</x:v>
      </x:c>
      <x:c r="C63" s="14" t="str">
        <x:v>À valider</x:v>
      </x:c>
      <x:c r="D63" s="11" t="str">
        <x:v>Jeux et succès</x:v>
      </x:c>
      <x:c r="E63" s="11" t="str">
        <x:v>Toutes</x:v>
      </x:c>
      <x:c r="F63" s="12" t="str">
        <x:v>Préserver jeu de base, DLC, éditions et inconnus</x:v>
      </x:c>
      <x:c r="G63" s="12" t="str">
        <x:v>Le modèle distingue comptes/plateformes/éditions. Les fournisseurs ne produisent pas toujours une partition DLC exploitable.</x:v>
      </x:c>
      <x:c r="H63" s="12" t="str">
        <x:v>Tester imports structurés, remasters, éditions différentes et ensembles supplémentaires. Ajouter une correction manuelle sourcée si nécessaire.</x:v>
      </x:c>
      <x:c r="I63" s="12" t="str">
        <x:v>Aucun faux platine ou DLC inventé. Inconnu reste distinct de non obtenu. Notes privées préservées à l’actualisation.</x:v>
      </x:c>
      <x:c r="J63" s="12" t="str">
        <x:v>Aucune</x:v>
      </x:c>
      <x:c r="K63" s="12" t="str">
        <x:v>Non vérifié dans cette passe</x:v>
      </x:c>
      <x:c r="L63" s="15" t="str"/>
      <x:c r="M63" s="12" t="str">
        <x:v>web/gaming-core.js; app/src/main/java/com/franchiseguide/app/model/GamingModels.kt; docs/GAMING_ACHIEVEMENTS.md</x:v>
      </x:c>
    </x:row>
    <x:row r="64" ht="49" customHeight="1">
      <x:c r="A64" s="13" t="str">
        <x:v>FG-057</x:v>
      </x:c>
      <x:c r="B64" s="13" t="str">
        <x:v>P1</x:v>
      </x:c>
      <x:c r="C64" s="14" t="str">
        <x:v>À développer</x:v>
      </x:c>
      <x:c r="D64" s="11" t="str">
        <x:v>Jeux et succès</x:v>
      </x:c>
      <x:c r="E64" s="11" t="str">
        <x:v>Toutes</x:v>
      </x:c>
      <x:c r="F64" s="12" t="str">
        <x:v>Définir un connecteur PSN autorisé</x:v>
      </x:c>
      <x:c r="G64" s="12" t="str">
        <x:v>PSN est une référence/import neutre, sans connexion Sony implémentée.</x:v>
      </x:c>
      <x:c r="H64" s="12" t="str">
        <x:v>Vérifier l’accès officiellement autorisé disponible pour ce projet, définir le parcours et implémenter lecture des trophées si l’accès le permet.</x:v>
      </x:c>
      <x:c r="I64" s="12" t="str">
        <x:v>Périmètre et droits établis avant activation. Identité du compte et listes PS4/PS5 vérifiées. Aucun secret détourné demandé.</x:v>
      </x:c>
      <x:c r="J64" s="12" t="str">
        <x:v>Aucune</x:v>
      </x:c>
      <x:c r="K64" s="12" t="str">
        <x:v>Non vérifié dans cette passe</x:v>
      </x:c>
      <x:c r="L64" s="15" t="str"/>
      <x:c r="M64" s="12" t="str">
        <x:v>docs/GAMING_ACHIEVEMENTS.md; web/gaming.js</x:v>
      </x:c>
    </x:row>
    <x:row r="65" ht="49" customHeight="1">
      <x:c r="A65" s="13" t="str">
        <x:v>FG-058</x:v>
      </x:c>
      <x:c r="B65" s="13" t="str">
        <x:v>P2</x:v>
      </x:c>
      <x:c r="C65" s="14" t="str">
        <x:v>À développer</x:v>
      </x:c>
      <x:c r="D65" s="11" t="str">
        <x:v>Jeux et succès</x:v>
      </x:c>
      <x:c r="E65" s="11" t="str">
        <x:v>Toutes</x:v>
      </x:c>
      <x:c r="F65" s="12" t="str">
        <x:v>Étudier une liaison PSNProfiles exploitable</x:v>
      </x:c>
      <x:c r="G65" s="12" t="str">
        <x:v>Un lien et des imports neutres peuvent référencer PSNProfiles. Il n’existe pas de synchronisation automatique livrée.</x:v>
      </x:c>
      <x:c r="H65" s="12" t="str">
        <x:v>Identifier un export ou accès autorisé, définir attribution et fraîcheur, puis intégrer lecture et import sans contourner de protection.</x:v>
      </x:c>
      <x:c r="I65" s="12" t="str">
        <x:v>Provenance et date explicites. Un fichier neutre n’est pas appelé export officiel et un lien n’est pas affiché connecté.</x:v>
      </x:c>
      <x:c r="J65" s="12" t="str">
        <x:v>Aucune</x:v>
      </x:c>
      <x:c r="K65" s="12" t="str">
        <x:v>Non vérifié dans cette passe</x:v>
      </x:c>
      <x:c r="L65" s="15" t="str"/>
      <x:c r="M65" s="12" t="str">
        <x:v>docs/GAMING_ACHIEVEMENTS.md; docs/PRIVACY_TECHNICAL.md</x:v>
      </x:c>
    </x:row>
    <x:row r="66" ht="48" customHeight="1">
      <x:c r="A66" s="13" t="str">
        <x:v>FG-059</x:v>
      </x:c>
      <x:c r="B66" s="13" t="str">
        <x:v>P2</x:v>
      </x:c>
      <x:c r="C66" s="14" t="str">
        <x:v>À développer</x:v>
      </x:c>
      <x:c r="D66" s="11" t="str">
        <x:v>Jeux et succès</x:v>
      </x:c>
      <x:c r="E66" s="11" t="str">
        <x:v>Toutes</x:v>
      </x:c>
      <x:c r="F66" s="12" t="str">
        <x:v>Définir puis intégrer les succès Xbox</x:v>
      </x:c>
      <x:c r="G66" s="12" t="str">
        <x:v>Aucun connecteur Xbox automatique n’est livré.</x:v>
      </x:c>
      <x:c r="H66" s="12" t="str">
        <x:v>Vérifier accès permis, authentification et champs disponibles. Implémenter séparément bibliothèque et succès avec refus/expiration.</x:v>
      </x:c>
      <x:c r="I66" s="12" t="str">
        <x:v>Compte et titres correctement liés. Points/date/inconnu conservés sans déduire campagne terminée.</x:v>
      </x:c>
      <x:c r="J66" s="12" t="str">
        <x:v>Aucune</x:v>
      </x:c>
      <x:c r="K66" s="12" t="str">
        <x:v>Non vérifié dans cette passe</x:v>
      </x:c>
      <x:c r="L66" s="15" t="str"/>
      <x:c r="M66" s="12" t="str">
        <x:v>docs/GAMING_ACHIEVEMENTS.md; web/gaming-core.js</x:v>
      </x:c>
    </x:row>
    <x:row r="67" ht="48" customHeight="1">
      <x:c r="A67" s="13" t="str">
        <x:v>FG-060</x:v>
      </x:c>
      <x:c r="B67" s="13" t="str">
        <x:v>P2</x:v>
      </x:c>
      <x:c r="C67" s="14" t="str">
        <x:v>À développer</x:v>
      </x:c>
      <x:c r="D67" s="11" t="str">
        <x:v>Jeux et succès</x:v>
      </x:c>
      <x:c r="E67" s="11" t="str">
        <x:v>Toutes</x:v>
      </x:c>
      <x:c r="F67" s="12" t="str">
        <x:v>Définir puis intégrer les données Epic</x:v>
      </x:c>
      <x:c r="G67" s="12" t="str">
        <x:v>Epic est limité aux références et imports.</x:v>
      </x:c>
      <x:c r="H67" s="12" t="str">
        <x:v>Établir la disponibilité réelle d’un accès autorisé pour bibliothèque et succès. Implémenter seulement le périmètre confirmé.</x:v>
      </x:c>
      <x:c r="I67" s="12" t="str">
        <x:v>Fonctions indisponibles indiquées. Aucun succès ou catalogue inventé pour combler les limites d’accès.</x:v>
      </x:c>
      <x:c r="J67" s="12" t="str">
        <x:v>Aucune</x:v>
      </x:c>
      <x:c r="K67" s="12" t="str">
        <x:v>Non vérifié dans cette passe</x:v>
      </x:c>
      <x:c r="L67" s="15" t="str"/>
      <x:c r="M67" s="12" t="str">
        <x:v>docs/GAMING_ACHIEVEMENTS.md; web/gaming-core.js</x:v>
      </x:c>
    </x:row>
    <x:row r="68" ht="49" customHeight="1">
      <x:c r="A68" s="13" t="str">
        <x:v>FG-061</x:v>
      </x:c>
      <x:c r="B68" s="13" t="str">
        <x:v>P2</x:v>
      </x:c>
      <x:c r="C68" s="14" t="str">
        <x:v>À développer</x:v>
      </x:c>
      <x:c r="D68" s="11" t="str">
        <x:v>Jeux et succès</x:v>
      </x:c>
      <x:c r="E68" s="11" t="str">
        <x:v>Toutes</x:v>
      </x:c>
      <x:c r="F68" s="12" t="str">
        <x:v>Définir puis intégrer les données GOG</x:v>
      </x:c>
      <x:c r="G68" s="12" t="str">
        <x:v>GOG est limité aux références et imports.</x:v>
      </x:c>
      <x:c r="H68" s="12" t="str">
        <x:v>Établir la méthode autorisée d’import/connexion et la compatibilité des listes, puis réaliser l’adaptateur et ses contrôles.</x:v>
      </x:c>
      <x:c r="I68" s="12" t="str">
        <x:v>Éditions distinctes et comptes isolés. Import sans authentification ne devient pas compte connecté.</x:v>
      </x:c>
      <x:c r="J68" s="12" t="str">
        <x:v>Aucune</x:v>
      </x:c>
      <x:c r="K68" s="12" t="str">
        <x:v>Non vérifié dans cette passe</x:v>
      </x:c>
      <x:c r="L68" s="15" t="str"/>
      <x:c r="M68" s="12" t="str">
        <x:v>docs/GAMING_ACHIEVEMENTS.md; web/gaming-core.js</x:v>
      </x:c>
    </x:row>
    <x:row r="69" ht="48" customHeight="1">
      <x:c r="A69" s="13" t="str">
        <x:v>FG-062</x:v>
      </x:c>
      <x:c r="B69" s="13" t="str">
        <x:v>P1</x:v>
      </x:c>
      <x:c r="C69" s="14" t="str">
        <x:v>À valider</x:v>
      </x:c>
      <x:c r="D69" s="11" t="str">
        <x:v>Jeux et succès</x:v>
      </x:c>
      <x:c r="E69" s="11" t="str">
        <x:v>Toutes</x:v>
      </x:c>
      <x:c r="F69" s="12" t="str">
        <x:v>Recetter les imports neutres de trophées</x:v>
      </x:c>
      <x:c r="G69" s="12" t="str">
        <x:v>Le format FranchiseGuide Achievements v1 existe, avec provenance fichier.</x:v>
      </x:c>
      <x:c r="H69" s="12" t="str">
        <x:v>Tester données incomplètes, doublons, version inconnue, trophées secrets, dates et plusieurs profils/éditions.</x:v>
      </x:c>
      <x:c r="I69" s="12" t="str">
        <x:v>Aperçu explicite avant application. Aucune checklist personnelle transformée en déblocage fournisseur.</x:v>
      </x:c>
      <x:c r="J69" s="12" t="str">
        <x:v>Aucune</x:v>
      </x:c>
      <x:c r="K69" s="12" t="str">
        <x:v>Non vérifié dans cette passe</x:v>
      </x:c>
      <x:c r="L69" s="15" t="str"/>
      <x:c r="M69" s="12" t="str">
        <x:v>examples/; web/gaming-core.js; app/src/main/java/com/franchiseguide/app/data/GamingCodec.kt</x:v>
      </x:c>
    </x:row>
    <x:row r="70" ht="49" customHeight="1">
      <x:c r="A70" s="13" t="str">
        <x:v>FG-063</x:v>
      </x:c>
      <x:c r="B70" s="13" t="str">
        <x:v>P1</x:v>
      </x:c>
      <x:c r="C70" s="14" t="str">
        <x:v>À valider</x:v>
      </x:c>
      <x:c r="D70" s="11" t="str">
        <x:v>Jeux et succès</x:v>
      </x:c>
      <x:c r="E70" s="11" t="str">
        <x:v>Toutes</x:v>
      </x:c>
      <x:c r="F70" s="12" t="str">
        <x:v>Mesurer la navigation sur de grandes listes de succès</x:v>
      </x:c>
      <x:c r="G70" s="12" t="str">
        <x:v>Affichage progressif et plafonds de capacité présents, sans preuve de fluidité sur tous appareils.</x:v>
      </x:c>
      <x:c r="H70" s="12" t="str">
        <x:v>Charger un corpus proche des plafonds, mesurer recherche/tri/filtre, mémoire et export. Améliorer pagination/virtualisation si nécessaire.</x:v>
      </x:c>
      <x:c r="I70" s="12" t="str">
        <x:v>Tous les filtres couvrent les données chargées, y compris hors première page. Aucun gel prolongé ni perte à l’enregistrement.</x:v>
      </x:c>
      <x:c r="J70" s="12" t="str">
        <x:v>FG-009</x:v>
      </x:c>
      <x:c r="K70" s="12" t="str">
        <x:v>Non vérifié dans cette passe</x:v>
      </x:c>
      <x:c r="L70" s="15" t="str"/>
      <x:c r="M70" s="12" t="str">
        <x:v>web/gaming.js; web/gaming-core.js; docs/GAMING_ACHIEVEMENTS.md</x:v>
      </x:c>
    </x:row>
    <x:row r="71" ht="48" customHeight="1">
      <x:c r="A71" s="13" t="str">
        <x:v>FG-064</x:v>
      </x:c>
      <x:c r="B71" s="13" t="str">
        <x:v>P1</x:v>
      </x:c>
      <x:c r="C71" s="14" t="str">
        <x:v>À valider</x:v>
      </x:c>
      <x:c r="D71" s="11" t="str">
        <x:v>Livres et franchises</x:v>
      </x:c>
      <x:c r="E71" s="11" t="str">
        <x:v>Toutes</x:v>
      </x:c>
      <x:c r="F71" s="12" t="str">
        <x:v>Valider ISBN et sélection d’édition sur données réelles</x:v>
      </x:c>
      <x:c r="G71" s="12" t="str">
        <x:v>Contrôle ISBN, recherche d’édition et sélection explicite existent.</x:v>
      </x:c>
      <x:c r="H71" s="12" t="str">
        <x:v>Tester ISBN10/13, édition inconnue, langues, pages absentes et œuvre liée à plusieurs éditions.</x:v>
      </x:c>
      <x:c r="I71" s="12" t="str">
        <x:v>L’édition choisie correspond au livre attendu. Un checksum ISBN valide ne suffit pas à inventer une correspondance.</x:v>
      </x:c>
      <x:c r="J71" s="12" t="str">
        <x:v>Aucune</x:v>
      </x:c>
      <x:c r="K71" s="12" t="str">
        <x:v>Non vérifié dans cette passe</x:v>
      </x:c>
      <x:c r="L71" s="15" t="str"/>
      <x:c r="M71" s="12" t="str">
        <x:v>web/book-selection-core.js; web/book-editions-core.js; docs/ISBN_ET_EDITION.md</x:v>
      </x:c>
    </x:row>
    <x:row r="72" ht="49" customHeight="1">
      <x:c r="A72" s="13" t="str">
        <x:v>FG-065</x:v>
      </x:c>
      <x:c r="B72" s="13" t="str">
        <x:v>P1</x:v>
      </x:c>
      <x:c r="C72" s="14" t="str">
        <x:v>À valider</x:v>
      </x:c>
      <x:c r="D72" s="11" t="str">
        <x:v>Livres et franchises</x:v>
      </x:c>
      <x:c r="E72" s="11" t="str">
        <x:v>Toutes</x:v>
      </x:c>
      <x:c r="F72" s="12" t="str">
        <x:v>Qualifier les changements d’édition et de pagination</x:v>
      </x:c>
      <x:c r="G72" s="12" t="str">
        <x:v>Œuvre, édition et progression sont séparées. Les anciennes progressions sont conservées.</x:v>
      </x:c>
      <x:c r="H72" s="12" t="str">
        <x:v>Changer d’édition avant/après progression, changer d’unité et diminuer le total. Tester refus et reprise de lecture.</x:v>
      </x:c>
      <x:c r="I72" s="12" t="str">
        <x:v>Historique de lectures préservé. Pas de conversion pages/pourcentage non confirmée ni faux achèvement.</x:v>
      </x:c>
      <x:c r="J72" s="12" t="str">
        <x:v>FG-064</x:v>
      </x:c>
      <x:c r="K72" s="12" t="str">
        <x:v>Non vérifié dans cette passe</x:v>
      </x:c>
      <x:c r="L72" s="15" t="str"/>
      <x:c r="M72" s="12" t="str">
        <x:v>web/book-selection-ui.js; web/progress-core.js; app/src/main/java/com/franchiseguide/app/model/BookSelectionRules.kt</x:v>
      </x:c>
    </x:row>
    <x:row r="73" ht="49" customHeight="1">
      <x:c r="A73" s="13" t="str">
        <x:v>FG-066</x:v>
      </x:c>
      <x:c r="B73" s="13" t="str">
        <x:v>P1</x:v>
      </x:c>
      <x:c r="C73" s="14" t="str">
        <x:v>Partiel</x:v>
      </x:c>
      <x:c r="D73" s="11" t="str">
        <x:v>Livres et franchises</x:v>
      </x:c>
      <x:c r="E73" s="11" t="str">
        <x:v>Toutes</x:v>
      </x:c>
      <x:c r="F73" s="12" t="str">
        <x:v>Compléter les franchises par un inventaire éditorial</x:v>
      </x:c>
      <x:c r="G73" s="12" t="str">
        <x:v>Le scanner utilise titres, termes et alias. Il ne garantit pas toutes les œuvres d’une franchise.</x:v>
      </x:c>
      <x:c r="H73" s="12" t="str">
        <x:v>Définir des inventaires vérifiés, provenance et périmètre par franchise. Inclure œuvres au titre différent, dérivés et exclusions explicites.</x:v>
      </x:c>
      <x:c r="I73" s="12" t="str">
        <x:v>Chaque rattachement est justifié. Suggestions ambiguës restent à confirmer et ne deviennent pas des acquisitions.</x:v>
      </x:c>
      <x:c r="J73" s="12" t="str">
        <x:v>Aucune</x:v>
      </x:c>
      <x:c r="K73" s="12" t="str">
        <x:v>Non vérifié dans cette passe</x:v>
      </x:c>
      <x:c r="L73" s="15" t="str"/>
      <x:c r="M73" s="12" t="str">
        <x:v>docs/SCANNER_FRANCHISES.md; web/franchise-scan-core.js; web/franchise-core.js</x:v>
      </x:c>
    </x:row>
    <x:row r="74" ht="49" customHeight="1">
      <x:c r="A74" s="13" t="str">
        <x:v>FG-067</x:v>
      </x:c>
      <x:c r="B74" s="13" t="str">
        <x:v>P2</x:v>
      </x:c>
      <x:c r="C74" s="14" t="str">
        <x:v>À valider</x:v>
      </x:c>
      <x:c r="D74" s="11" t="str">
        <x:v>Livres et franchises</x:v>
      </x:c>
      <x:c r="E74" s="11" t="str">
        <x:v>Toutes</x:v>
      </x:c>
      <x:c r="F74" s="12" t="str">
        <x:v>Rendre les ordres de franchise explicites</x:v>
      </x:c>
      <x:c r="G74" s="12" t="str">
        <x:v>Moteur de franchises et listes présents. Les ordres utilisés doivent être contrôlés franchise par franchise.</x:v>
      </x:c>
      <x:c r="H74" s="12" t="str">
        <x:v>Vérifier ordre de sortie, chronologie et ordre personnalisé. Préserver dates inconnues, supports distincts et éditions.</x:v>
      </x:c>
      <x:c r="I74" s="12" t="str">
        <x:v>L’ordre affiché est nommé et reproductible. Aucun élément sans date classé comme date inventée.</x:v>
      </x:c>
      <x:c r="J74" s="12" t="str">
        <x:v>Aucune</x:v>
      </x:c>
      <x:c r="K74" s="12" t="str">
        <x:v>Non vérifié dans cette passe</x:v>
      </x:c>
      <x:c r="L74" s="15" t="str"/>
      <x:c r="M74" s="12" t="str">
        <x:v>web/franchise-core.js; web/franchise-ui.js; docs/FRANCHISE_ENGINE.md</x:v>
      </x:c>
    </x:row>
    <x:row r="75" ht="48" customHeight="1">
      <x:c r="A75" s="13" t="str">
        <x:v>FG-068</x:v>
      </x:c>
      <x:c r="B75" s="13" t="str">
        <x:v>P1</x:v>
      </x:c>
      <x:c r="C75" s="14" t="str">
        <x:v>À valider</x:v>
      </x:c>
      <x:c r="D75" s="11" t="str">
        <x:v>Livres et franchises</x:v>
      </x:c>
      <x:c r="E75" s="11" t="str">
        <x:v>Toutes</x:v>
      </x:c>
      <x:c r="F75" s="12" t="str">
        <x:v>Qualifier le scanner multi-catégories et sa reprise</x:v>
      </x:c>
      <x:c r="G75" s="12" t="str">
        <x:v>Session temporaire, catégories indépendantes et commit du lot existent.</x:v>
      </x:c>
      <x:c r="H75" s="12" t="str">
        <x:v>Tester quatre catégories, page en erreur, homonymes, annulation et identité ajoutée pendant la recherche.</x:v>
      </x:c>
      <x:c r="I75" s="12" t="str">
        <x:v>Chaque page reprise au bon endroit. Lot revalidé. Aucun suivi personnel créé par une suggestion.</x:v>
      </x:c>
      <x:c r="J75" s="12" t="str">
        <x:v>Aucune</x:v>
      </x:c>
      <x:c r="K75" s="12" t="str">
        <x:v>Non vérifié dans cette passe</x:v>
      </x:c>
      <x:c r="L75" s="15" t="str"/>
      <x:c r="M75" s="12" t="str">
        <x:v>web/franchise-scan-core.js; web/franchise-ui.js; tests/franchise-scan-v034.test.cjs</x:v>
      </x:c>
    </x:row>
    <x:row r="76" ht="49" customHeight="1">
      <x:c r="A76" s="13" t="str">
        <x:v>FG-069</x:v>
      </x:c>
      <x:c r="B76" s="13" t="str">
        <x:v>P1</x:v>
      </x:c>
      <x:c r="C76" s="14" t="str">
        <x:v>À valider</x:v>
      </x:c>
      <x:c r="D76" s="11" t="str">
        <x:v>Livres et franchises</x:v>
      </x:c>
      <x:c r="E76" s="11" t="str">
        <x:v>Toutes</x:v>
      </x:c>
      <x:c r="F76" s="12" t="str">
        <x:v>Recetter la progression jeux/livres et les statistiques</x:v>
      </x:c>
      <x:c r="G76" s="12" t="str">
        <x:v>Parcours courant, historique de fins et compteurs sont séparés.</x:v>
      </x:c>
      <x:c r="H76" s="12" t="str">
        <x:v>Tester reprise, abandon, relecture, changement d’unité et jeu présent sur plusieurs comptes. Comparer les sorties Web/Android.</x:v>
      </x:c>
      <x:c r="I76" s="12" t="str">
        <x:v>Aucune ancienne fin supprimée par reprise. Temps de jeu et pages ne sont pas additionnés deux fois.</x:v>
      </x:c>
      <x:c r="J76" s="12" t="str">
        <x:v>Aucune</x:v>
      </x:c>
      <x:c r="K76" s="12" t="str">
        <x:v>Non vérifié dans cette passe</x:v>
      </x:c>
      <x:c r="L76" s="15" t="str"/>
      <x:c r="M76" s="12" t="str">
        <x:v>web/progress-core.js; web/insights-core.js; app/src/main/java/com/franchiseguide/app/model/ProgressRules.kt</x:v>
      </x:c>
    </x:row>
    <x:row r="77" ht="49" customHeight="1">
      <x:c r="A77" s="13" t="str">
        <x:v>FG-070</x:v>
      </x:c>
      <x:c r="B77" s="13" t="str">
        <x:v>P1</x:v>
      </x:c>
      <x:c r="C77" s="14" t="str">
        <x:v>À valider</x:v>
      </x:c>
      <x:c r="D77" s="11" t="str">
        <x:v>Données</x:v>
      </x:c>
      <x:c r="E77" s="11" t="str">
        <x:v>Toutes</x:v>
      </x:c>
      <x:c r="F77" s="12" t="str">
        <x:v>Migrer de véritables exports SeriesGuide</x:v>
      </x:c>
      <x:c r="G77" s="12" t="str">
        <x:v>Import multi-fichiers avec aperçu existe, testé historiquement avec fixtures.</x:v>
      </x:c>
      <x:c r="H77" s="12" t="str">
        <x:v>Tester exports personnels autorisés de plusieurs versions avec listes, séries, films, IDs legacy et épisodes renumérotés.</x:v>
      </x:c>
      <x:c r="I77" s="12" t="str">
        <x:v>Rapport détaille importés/ignorés/conflits. Suivi et notes conservés. Fichier d’origine reste récupérable.</x:v>
      </x:c>
      <x:c r="J77" s="12" t="str">
        <x:v>Aucune</x:v>
      </x:c>
      <x:c r="K77" s="12" t="str">
        <x:v>Non vérifié dans cette passe</x:v>
      </x:c>
      <x:c r="L77" s="15" t="str"/>
      <x:c r="M77" s="12" t="str">
        <x:v>docs/SERIESGUIDE_IMPORT.md; web/import-ui.js; app/src/main/java/com/franchiseguide/app/data/SeriesGuideImporter.kt</x:v>
      </x:c>
    </x:row>
    <x:row r="78" ht="49" customHeight="1">
      <x:c r="A78" s="13" t="str">
        <x:v>FG-071</x:v>
      </x:c>
      <x:c r="B78" s="13" t="str">
        <x:v>P0</x:v>
      </x:c>
      <x:c r="C78" s="14" t="str">
        <x:v>À valider</x:v>
      </x:c>
      <x:c r="D78" s="11" t="str">
        <x:v>Données</x:v>
      </x:c>
      <x:c r="E78" s="11" t="str">
        <x:v>Toutes</x:v>
      </x:c>
      <x:c r="F78" s="12" t="str">
        <x:v>Exercer les migrations de schémas portables</x:v>
      </x:c>
      <x:c r="G78" s="12" t="str">
        <x:v>Le portable V11 accepte des versions anciennes. Les migrations doivent être rejouées après les nouvelles modifications.</x:v>
      </x:c>
      <x:c r="H78" s="12" t="str">
        <x:v>Restaurer chaque version supportée, réexporter et comparer les champs métier. Tester version future, valeurs extrêmes et références manquantes.</x:v>
      </x:c>
      <x:c r="I78" s="12" t="str">
        <x:v>Aucune perte silencieuse. Version future refusée. Données anciennes non inventées, non reconnues signalées.</x:v>
      </x:c>
      <x:c r="J78" s="12" t="str">
        <x:v>Aucune</x:v>
      </x:c>
      <x:c r="K78" s="12" t="str">
        <x:v>Non vérifié dans cette passe</x:v>
      </x:c>
      <x:c r="L78" s="15" t="str"/>
      <x:c r="M78" s="12" t="str">
        <x:v>RELEASE.json; web/core.js; app/src/main/java/com/franchiseguide/app/data/AppRepository.kt</x:v>
      </x:c>
    </x:row>
    <x:row r="79" ht="49" customHeight="1">
      <x:c r="A79" s="13" t="str">
        <x:v>FG-072</x:v>
      </x:c>
      <x:c r="B79" s="13" t="str">
        <x:v>P0</x:v>
      </x:c>
      <x:c r="C79" s="14" t="str">
        <x:v>À valider</x:v>
      </x:c>
      <x:c r="D79" s="11" t="str">
        <x:v>Données</x:v>
      </x:c>
      <x:c r="E79" s="11" t="str">
        <x:v>Toutes</x:v>
      </x:c>
      <x:c r="F79" s="12" t="str">
        <x:v>Tester la restauration croisée sur les vrais clients</x:v>
      </x:c>
      <x:c r="G79" s="12" t="str">
        <x:v>Formats JSON et protégés sont communs, avec tests de domaine et interopérabilité JVM/JS.</x:v>
      </x:c>
      <x:c r="H79" s="12" t="str">
        <x:v>Exporter PC/Web vers Android puis retour sur appareils réels, incluant épisodes, listes, franchises, éditions et succès.</x:v>
      </x:c>
      <x:c r="I79" s="12" t="str">
        <x:v>Même état métier après aller-retour. Secrets exclus et automatismes suspendus comme prévu.</x:v>
      </x:c>
      <x:c r="J79" s="12" t="str">
        <x:v>FG-003, FG-021</x:v>
      </x:c>
      <x:c r="K79" s="12" t="str">
        <x:v>Non vérifié dans cette passe</x:v>
      </x:c>
      <x:c r="L79" s="15" t="str"/>
      <x:c r="M79" s="12" t="str">
        <x:v>web/backup.js; web/protected-backup-core.js; app/src/main/java/com/franchiseguide/app/model/ProtectedBackup.kt</x:v>
      </x:c>
    </x:row>
    <x:row r="80" ht="49" customHeight="1">
      <x:c r="A80" s="13" t="str">
        <x:v>FG-073</x:v>
      </x:c>
      <x:c r="B80" s="13" t="str">
        <x:v>P1</x:v>
      </x:c>
      <x:c r="C80" s="14" t="str">
        <x:v>À développer</x:v>
      </x:c>
      <x:c r="D80" s="11" t="str">
        <x:v>Données</x:v>
      </x:c>
      <x:c r="E80" s="11" t="str">
        <x:v>Toutes</x:v>
      </x:c>
      <x:c r="F80" s="12" t="str">
        <x:v>Automatiser une sauvegarde externe périodique</x:v>
      </x:c>
      <x:c r="G80" s="12" t="str">
        <x:v>L’application propose export manuel et rappel déclaratif. Elle ne réalise pas une sauvegarde externe périodique.</x:v>
      </x:c>
      <x:c r="H80" s="12" t="str">
        <x:v>Choisir une destination explicite et un mécanisme adapté à chaque plateforme, planifier l’export, gérer permissions et erreurs.</x:v>
      </x:c>
      <x:c r="I80" s="12" t="str">
        <x:v>Fichier relisible hors du stockage applicatif. Date de succès seulement après écriture vérifiée. Échec visible et relançable.</x:v>
      </x:c>
      <x:c r="J80" s="12" t="str">
        <x:v>FG-072</x:v>
      </x:c>
      <x:c r="K80" s="12" t="str">
        <x:v>Non vérifié dans cette passe</x:v>
      </x:c>
      <x:c r="L80" s="15" t="str"/>
      <x:c r="M80" s="12" t="str">
        <x:v>web/backup-safety-core.js; web/backup-safety-ui.js; docs/FEATURE_MATRIX.md</x:v>
      </x:c>
    </x:row>
    <x:row r="81" ht="49" customHeight="1">
      <x:c r="A81" s="13" t="str">
        <x:v>FG-074</x:v>
      </x:c>
      <x:c r="B81" s="13" t="str">
        <x:v>P2</x:v>
      </x:c>
      <x:c r="C81" s="14" t="str">
        <x:v>À développer</x:v>
      </x:c>
      <x:c r="D81" s="11" t="str">
        <x:v>Données</x:v>
      </x:c>
      <x:c r="E81" s="11" t="str">
        <x:v>Toutes</x:v>
      </x:c>
      <x:c r="F81" s="12" t="str">
        <x:v>Ajouter une copie cloud de sauvegarde choisie</x:v>
      </x:c>
      <x:c r="G81" s="12" t="str">
        <x:v>Aucune copie automatique Drive ou équivalent n’est intégrée.</x:v>
      </x:c>
      <x:c r="H81" s="12" t="str">
        <x:v>Ajouter un fournisseur de destination autorisé, choix de dossier, chiffrement optionnel et rétention. Prévoir déconnexion et révocation.</x:v>
      </x:c>
      <x:c r="I81" s="12" t="str">
        <x:v>Sauvegarde téléchargeable et restaurable depuis un autre appareil. Aucune donnée envoyée sans activation volontaire.</x:v>
      </x:c>
      <x:c r="J81" s="12" t="str">
        <x:v>FG-073</x:v>
      </x:c>
      <x:c r="K81" s="12" t="str">
        <x:v>Non vérifié dans cette passe</x:v>
      </x:c>
      <x:c r="L81" s="15" t="str"/>
      <x:c r="M81" s="12" t="str">
        <x:v>docs/FEATURE_MATRIX.md; docs/SAUVEGARDES_PROTEGEES.md</x:v>
      </x:c>
    </x:row>
    <x:row r="82" ht="49" customHeight="1">
      <x:c r="A82" s="13" t="str">
        <x:v>FG-075</x:v>
      </x:c>
      <x:c r="B82" s="13" t="str">
        <x:v>P0</x:v>
      </x:c>
      <x:c r="C82" s="14" t="str">
        <x:v>À valider</x:v>
      </x:c>
      <x:c r="D82" s="11" t="str">
        <x:v>Données</x:v>
      </x:c>
      <x:c r="E82" s="11" t="str">
        <x:v>Toutes</x:v>
      </x:c>
      <x:c r="F82" s="12" t="str">
        <x:v>Éprouver corruption, quota plein et récupération</x:v>
      </x:c>
      <x:c r="G82" s="12" t="str">
        <x:v>Snapshots, IndexedDB et écran de récupération existent.</x:v>
      </x:c>
      <x:c r="H82" s="12" t="str">
        <x:v>Simuler contenu tronqué, JSON invalide, refus d’écriture et perte du stockage principal. Tester le vrai parcours de récupération.</x:v>
      </x:c>
      <x:c r="I82" s="12" t="str">
        <x:v>Original préservé et exportable. Aucune réparation destructive sans aperçu. Dernière copie valide identifiable.</x:v>
      </x:c>
      <x:c r="J82" s="12" t="str">
        <x:v>FG-010, FG-024</x:v>
      </x:c>
      <x:c r="K82" s="12" t="str">
        <x:v>Non vérifié dans cette passe</x:v>
      </x:c>
      <x:c r="L82" s="15" t="str"/>
      <x:c r="M82" s="12" t="str">
        <x:v>web/durable.js; web/integrity.js; app/src/main/java/com/franchiseguide/app/ui/RecoveryScreen.kt</x:v>
      </x:c>
    </x:row>
    <x:row r="83" ht="48" customHeight="1">
      <x:c r="A83" s="13" t="str">
        <x:v>FG-076</x:v>
      </x:c>
      <x:c r="B83" s="13" t="str">
        <x:v>P1</x:v>
      </x:c>
      <x:c r="C83" s="14" t="str">
        <x:v>À valider</x:v>
      </x:c>
      <x:c r="D83" s="11" t="str">
        <x:v>Données</x:v>
      </x:c>
      <x:c r="E83" s="11" t="str">
        <x:v>Toutes</x:v>
      </x:c>
      <x:c r="F83" s="12" t="str">
        <x:v>Revoir les plafonds et volumes supportés</x:v>
      </x:c>
      <x:c r="G83" s="12" t="str">
        <x:v>L’application impose des bornes pour médias, listes, succès et fichiers protégés.</x:v>
      </x:c>
      <x:c r="H83" s="12" t="str">
        <x:v>Documenter les plafonds effectifs, mesurer le volume en octets et tester les frontières sur client lent.</x:v>
      </x:c>
      <x:c r="I83" s="12" t="str">
        <x:v>Dépassement refusé sans écrasement. Volume partiel ou différé annoncé. Aucun compteur « complet » trompeur.</x:v>
      </x:c>
      <x:c r="J83" s="12" t="str">
        <x:v>FG-063</x:v>
      </x:c>
      <x:c r="K83" s="12" t="str">
        <x:v>Non vérifié dans cette passe</x:v>
      </x:c>
      <x:c r="L83" s="15" t="str"/>
      <x:c r="M83" s="12" t="str">
        <x:v>web/gaming-core.js; web/protected-backup-core.js; docs/DATA_INTEGRITY.md</x:v>
      </x:c>
    </x:row>
    <x:row r="84" ht="49" customHeight="1">
      <x:c r="A84" s="13" t="str">
        <x:v>FG-077</x:v>
      </x:c>
      <x:c r="B84" s="13" t="str">
        <x:v>P1</x:v>
      </x:c>
      <x:c r="C84" s="14" t="str">
        <x:v>À développer</x:v>
      </x:c>
      <x:c r="D84" s="11" t="str">
        <x:v>Données</x:v>
      </x:c>
      <x:c r="E84" s="11" t="str">
        <x:v>Toutes</x:v>
      </x:c>
      <x:c r="F84" s="12" t="str">
        <x:v>Définir le chiffrement des données actives</x:v>
      </x:c>
      <x:c r="G84" s="12" t="str">
        <x:v>Le fichier protégé chiffre l’export uniquement. Bibliothèque, snapshots et certaines données de session restent accessibles localement.</x:v>
      </x:c>
      <x:c r="H84" s="12" t="str">
        <x:v>Définir les besoins sur appareil partagé, verrouillage et gestion des clés. Implémenter les protections compatibles avec chaque canal.</x:v>
      </x:c>
      <x:c r="I84" s="12" t="str">
        <x:v>Périmètre protégé documenté et testé. Perte de clé, migration et récupération traitées sans promesse de chiffrement total infondée.</x:v>
      </x:c>
      <x:c r="J84" s="12" t="str">
        <x:v>FG-015</x:v>
      </x:c>
      <x:c r="K84" s="12" t="str">
        <x:v>Non vérifié dans cette passe</x:v>
      </x:c>
      <x:c r="L84" s="15" t="str"/>
      <x:c r="M84" s="12" t="str">
        <x:v>docs/SAUVEGARDES_PROTEGEES.md; docs/PRIVACY_TECHNICAL.md; web/persistence.js</x:v>
      </x:c>
    </x:row>
    <x:row r="85" ht="48" customHeight="1">
      <x:c r="A85" s="13" t="str">
        <x:v>FG-078</x:v>
      </x:c>
      <x:c r="B85" s="13" t="str">
        <x:v>P0</x:v>
      </x:c>
      <x:c r="C85" s="14" t="str">
        <x:v>À développer</x:v>
      </x:c>
      <x:c r="D85" s="11" t="str">
        <x:v>Cloud</x:v>
      </x:c>
      <x:c r="E85" s="11" t="str">
        <x:v>Toutes</x:v>
      </x:c>
      <x:c r="F85" s="12" t="str">
        <x:v>Concevoir le backend public et l’authentification applicative</x:v>
      </x:c>
      <x:c r="G85" s="12" t="str">
        <x:v>Les serveurs actuels sont personnels et loopback. Ils ne sont pas un service multi-utilisateur prêt à exposer.</x:v>
      </x:c>
      <x:c r="H85" s="12" t="str">
        <x:v>Définir comptes, sessions, isolation, stockage de secrets, quotas et révocation. Implémenter le backend avec périmètre séparé des passerelles locales.</x:v>
      </x:c>
      <x:c r="I85" s="12" t="str">
        <x:v>Isolation de deux utilisateurs démontrée. Secrets serveur absents du client. Accès non authentifiés et abus limités.</x:v>
      </x:c>
      <x:c r="J85" s="12" t="str">
        <x:v>Aucune</x:v>
      </x:c>
      <x:c r="K85" s="12" t="str">
        <x:v>Non vérifié dans cette passe</x:v>
      </x:c>
      <x:c r="L85" s="15" t="str"/>
      <x:c r="M85" s="12" t="str">
        <x:v>server/start.cjs; docs/AUTOMATIC_SERVICES.md; docs/SECURITY_AND_DATA.md</x:v>
      </x:c>
    </x:row>
    <x:row r="86" ht="49" customHeight="1">
      <x:c r="A86" s="13" t="str">
        <x:v>FG-079</x:v>
      </x:c>
      <x:c r="B86" s="13" t="str">
        <x:v>P1</x:v>
      </x:c>
      <x:c r="C86" s="14" t="str">
        <x:v>À développer</x:v>
      </x:c>
      <x:c r="D86" s="11" t="str">
        <x:v>Cloud</x:v>
      </x:c>
      <x:c r="E86" s="11" t="str">
        <x:v>Toutes</x:v>
      </x:c>
      <x:c r="F86" s="12" t="str">
        <x:v>Synchroniser bibliothèque, jeux, livres et franchises</x:v>
      </x:c>
      <x:c r="G86" s="12" t="str">
        <x:v>Trakt ne remplace pas une synchronisation générale de toute la bibliothèque. Aucun cloud général livré.</x:v>
      </x:c>
      <x:c r="H86" s="12" t="str">
        <x:v>Définir protocole incrémental, identités, versions, conflits, suppressions et fonctionnement hors ligne. Inclure notes, listes et progression personnelle.</x:v>
      </x:c>
      <x:c r="I86" s="12" t="str">
        <x:v>Deux appareils convergent après modifications concurrentes. Aucun écrasement silencieux et opérations répétées idempotentes.</x:v>
      </x:c>
      <x:c r="J86" s="12" t="str">
        <x:v>FG-078, FG-071</x:v>
      </x:c>
      <x:c r="K86" s="12" t="str">
        <x:v>Non vérifié dans cette passe</x:v>
      </x:c>
      <x:c r="L86" s="15" t="str"/>
      <x:c r="M86" s="12" t="str">
        <x:v>docs/FEATURE_MATRIX.md; web/core.js; app/src/main/java/com/franchiseguide/app/model/Models.kt</x:v>
      </x:c>
    </x:row>
    <x:row r="87" ht="49" customHeight="1">
      <x:c r="A87" s="13" t="str">
        <x:v>FG-080</x:v>
      </x:c>
      <x:c r="B87" s="13" t="str">
        <x:v>P1</x:v>
      </x:c>
      <x:c r="C87" s="14" t="str">
        <x:v>À développer</x:v>
      </x:c>
      <x:c r="D87" s="11" t="str">
        <x:v>Cloud</x:v>
      </x:c>
      <x:c r="E87" s="11" t="str">
        <x:v>Toutes</x:v>
      </x:c>
      <x:c r="F87" s="12" t="str">
        <x:v>Prévoir export, suppression et récupération du compte cloud</x:v>
      </x:c>
      <x:c r="G87" s="12" t="str">
        <x:v>Les actions actuelles concernent surtout le stockage local et les comptes fournisseurs.</x:v>
      </x:c>
      <x:c r="H87" s="12" t="str">
        <x:v>Ajouter export complet cloud, fermeture de compte, révocation de sessions et procédure de récupération correspondant au backend choisi.</x:v>
      </x:c>
      <x:c r="I87" s="12" t="str">
        <x:v>Actions limitées au bon compte, état confirmé et rétention explicitée. Export restaurable sans conserver une session active.</x:v>
      </x:c>
      <x:c r="J87" s="12" t="str">
        <x:v>FG-078, FG-079</x:v>
      </x:c>
      <x:c r="K87" s="12" t="str">
        <x:v>Non vérifié dans cette passe</x:v>
      </x:c>
      <x:c r="L87" s="15" t="str"/>
      <x:c r="M87" s="12" t="str">
        <x:v>docs/PRIVACY_TECHNICAL.md; docs/RELEASE_GATES.json</x:v>
      </x:c>
    </x:row>
    <x:row r="88" ht="49" customHeight="1">
      <x:c r="A88" s="13" t="str">
        <x:v>FG-081</x:v>
      </x:c>
      <x:c r="B88" s="13" t="str">
        <x:v>P1</x:v>
      </x:c>
      <x:c r="C88" s="14" t="str">
        <x:v>À valider</x:v>
      </x:c>
      <x:c r="D88" s="11" t="str">
        <x:v>Données</x:v>
      </x:c>
      <x:c r="E88" s="11" t="str">
        <x:v>Toutes</x:v>
      </x:c>
      <x:c r="F88" s="12" t="str">
        <x:v>Valider exports CSV et calendriers ICS</x:v>
      </x:c>
      <x:c r="G88" s="12" t="str">
        <x:v>Exports d’activité et calendrier existent. L’interopérabilité avec des logiciels réels n’est pas attestée.</x:v>
      </x:c>
      <x:c r="H88" s="12" t="str">
        <x:v>Importer dans les clients de calendrier/tableur visés, réimporter puis contrôler accents, fuseaux et identifiants.</x:v>
      </x:c>
      <x:c r="I88" s="12" t="str">
        <x:v>Pas de doublon d’événement au réimport attendu. Dates, colonnes et confidentialité correctement expliquées.</x:v>
      </x:c>
      <x:c r="J88" s="12" t="str">
        <x:v>FG-041</x:v>
      </x:c>
      <x:c r="K88" s="12" t="str">
        <x:v>Non vérifié dans cette passe</x:v>
      </x:c>
      <x:c r="L88" s="15" t="str"/>
      <x:c r="M88" s="12" t="str">
        <x:v>docs/AGENDA_ET_HISTORIQUE.md; web/activity-ui.js; docs/RELEASE_GATES.json</x:v>
      </x:c>
    </x:row>
    <x:row r="89" ht="49" customHeight="1">
      <x:c r="A89" s="13" t="str">
        <x:v>FG-082</x:v>
      </x:c>
      <x:c r="B89" s="13" t="str">
        <x:v>P1</x:v>
      </x:c>
      <x:c r="C89" s="14" t="str">
        <x:v>À valider</x:v>
      </x:c>
      <x:c r="D89" s="11" t="str">
        <x:v>PC</x:v>
      </x:c>
      <x:c r="E89" s="11" t="str">
        <x:v>PC</x:v>
      </x:c>
      <x:c r="F89" s="12" t="str">
        <x:v>Tester les lanceurs sur Windows et macOS</x:v>
      </x:c>
      <x:c r="G89" s="12" t="str">
        <x:v>JAR Java17 et scripts sont livrés. Les contrôles HTTP ne prouvent pas une session graphique native.</x:v>
      </x:c>
      <x:c r="H89" s="12" t="str">
        <x:v>Exercer installation, double clic, chemins avec espaces/accents, port occupé, navigateur absent et fermeture.</x:v>
      </x:c>
      <x:c r="I89" s="12" t="str">
        <x:v>Démarrage et arrêt prévisibles. Messages de prérequis utiles. Une seconde instance ne corrompt pas la session.</x:v>
      </x:c>
      <x:c r="J89" s="12" t="str">
        <x:v>FG-004</x:v>
      </x:c>
      <x:c r="K89" s="12" t="str">
        <x:v>JAR PC exécuté : 109 contrôles HTTP et 9 de démarrage réussis. Session graphique Windows/macOS et lanceurs dans ces OS non qualifiés.</x:v>
      </x:c>
      <x:c r="L89" s="15" t="str"/>
      <x:c r="M89" s="12" t="str">
        <x:v>desktop/FranchiseGuide-PC.bat; desktop/FranchiseGuide-PC.sh; desktop/src/com/franchiseguide/desktop/Main.java</x:v>
      </x:c>
    </x:row>
    <x:row r="90" ht="49" customHeight="1">
      <x:c r="A90" s="13" t="str">
        <x:v>FG-083</x:v>
      </x:c>
      <x:c r="B90" s="13" t="str">
        <x:v>P1</x:v>
      </x:c>
      <x:c r="C90" s="14" t="str">
        <x:v>À développer</x:v>
      </x:c>
      <x:c r="D90" s="11" t="str">
        <x:v>PC</x:v>
      </x:c>
      <x:c r="E90" s="11" t="str">
        <x:v>PC</x:v>
      </x:c>
      <x:c r="F90" s="12" t="str">
        <x:v>Fournir des installateurs avec runtime et signature</x:v>
      </x:c>
      <x:c r="G90" s="12" t="str">
        <x:v>Le canal PC exige Java17 et un navigateur. Il ne fournit pas d’installateur natif signé prêt pour tous les utilisateurs.</x:v>
      </x:c>
      <x:c r="H90" s="12" t="str">
        <x:v>Choisir les systèmes cibles, intégrer runtime approprié, icônes, désinstallation et signature avec clés protégées.</x:v>
      </x:c>
      <x:c r="I90" s="12" t="str">
        <x:v>Installation sur machine vierge sans configuration technique imprévue. Signature valide et données utilisateur préservées à la mise à jour.</x:v>
      </x:c>
      <x:c r="J90" s="12" t="str">
        <x:v>FG-082, FG-090</x:v>
      </x:c>
      <x:c r="K90" s="12" t="str">
        <x:v>Non vérifié dans cette passe</x:v>
      </x:c>
      <x:c r="L90" s="15" t="str"/>
      <x:c r="M90" s="12" t="str">
        <x:v>docs/DESKTOP.md; tools/build_pc.sh</x:v>
      </x:c>
    </x:row>
    <x:row r="91" ht="48" customHeight="1">
      <x:c r="A91" s="13" t="str">
        <x:v>FG-084</x:v>
      </x:c>
      <x:c r="B91" s="13" t="str">
        <x:v>P1</x:v>
      </x:c>
      <x:c r="C91" s="14" t="str">
        <x:v>À développer</x:v>
      </x:c>
      <x:c r="D91" s="11" t="str">
        <x:v>PC</x:v>
      </x:c>
      <x:c r="E91" s="11" t="str">
        <x:v>PC</x:v>
      </x:c>
      <x:c r="F91" s="12" t="str">
        <x:v>Mettre en place une mise à jour vérifiable</x:v>
      </x:c>
      <x:c r="G91" s="12" t="str">
        <x:v>La reconstruction et les manifestes existent, sans canal de mise à jour PC qualifié.</x:v>
      </x:c>
      <x:c r="H91" s="12" t="str">
        <x:v>Définir versions, signature/empreinte des paquets, restauration et traitement des mises à jour échouées.</x:v>
      </x:c>
      <x:c r="I91" s="12" t="str">
        <x:v>Paquet altéré refusé. Bibliothèque sauvegardée avant migration. Retour possible à une version compatible.</x:v>
      </x:c>
      <x:c r="J91" s="12" t="str">
        <x:v>FG-083, FG-071</x:v>
      </x:c>
      <x:c r="K91" s="12" t="str">
        <x:v>Non vérifié dans cette passe</x:v>
      </x:c>
      <x:c r="L91" s="15" t="str"/>
      <x:c r="M91" s="12" t="str">
        <x:v>MANIFEST.sha256; docs/BUILD.md; desktop/src/com/franchiseguide/desktop/Main.java</x:v>
      </x:c>
    </x:row>
    <x:row r="92" ht="49" customHeight="1">
      <x:c r="A92" s="13" t="str">
        <x:v>FG-085</x:v>
      </x:c>
      <x:c r="B92" s="13" t="str">
        <x:v>P0</x:v>
      </x:c>
      <x:c r="C92" s="14" t="str">
        <x:v>À valider</x:v>
      </x:c>
      <x:c r="D92" s="11" t="str">
        <x:v>Sécurité</x:v>
      </x:c>
      <x:c r="E92" s="11" t="str">
        <x:v>Web / PC</x:v>
      </x:c>
      <x:c r="F92" s="12" t="str">
        <x:v>Qualifier les frontières HTTP des passerelles personnelles</x:v>
      </x:c>
      <x:c r="G92" s="12" t="str">
        <x:v>Contrôles Host/Origin, routes autorisées, tailles et délais sont présents.</x:v>
      </x:c>
      <x:c r="H92" s="12" t="str">
        <x:v>Auditer traversée de chemin, hôtes, méthodes, redirections, corps volumineux et charge simultanée. Corriger les divergences Node/Java.</x:v>
      </x:c>
      <x:c r="I92" s="12" t="str">
        <x:v>Aucune ressource hors périmètre servie. Pas de fuite de clé. Refus et limites identiques dans les deux serveurs.</x:v>
      </x:c>
      <x:c r="J92" s="12" t="str">
        <x:v>Aucune</x:v>
      </x:c>
      <x:c r="K92" s="12" t="str">
        <x:v>Non vérifié dans cette passe</x:v>
      </x:c>
      <x:c r="L92" s="15" t="str"/>
      <x:c r="M92" s="12" t="str">
        <x:v>server/start.cjs; server/auto-services.cjs; desktop/src/com/franchiseguide/desktop/Main.java</x:v>
      </x:c>
    </x:row>
    <x:row r="93" ht="49" customHeight="1">
      <x:c r="A93" s="13" t="str">
        <x:v>FG-086</x:v>
      </x:c>
      <x:c r="B93" s="13" t="str">
        <x:v>P1</x:v>
      </x:c>
      <x:c r="C93" s="14" t="str">
        <x:v>À valider</x:v>
      </x:c>
      <x:c r="D93" s="11" t="str">
        <x:v>Sécurité</x:v>
      </x:c>
      <x:c r="E93" s="11" t="str">
        <x:v>Web / PC</x:v>
      </x:c>
      <x:c r="F93" s="12" t="str">
        <x:v>Vérifier les sessions et permissions de fichiers PC</x:v>
      </x:c>
      <x:c r="G93" s="12" t="str">
        <x:v>Steam utilise un cookie HttpOnly et un fichier de sessions distinct par lanceur.</x:v>
      </x:c>
      <x:c r="H93" s="12" t="str">
        <x:v>Tester droits du fichier, relance, fichier corrompu, session expirée, suppression et concurrence sur chaque OS cible.</x:v>
      </x:c>
      <x:c r="I93" s="12" t="str">
        <x:v>Session invalide non réutilisée. Fichier corrompu non écrasé silencieusement. Déconnexion révoque uniquement la session voulue.</x:v>
      </x:c>
      <x:c r="J93" s="12" t="str">
        <x:v>FG-052, FG-082</x:v>
      </x:c>
      <x:c r="K93" s="12" t="str">
        <x:v>Non vérifié dans cette passe</x:v>
      </x:c>
      <x:c r="L93" s="15" t="str"/>
      <x:c r="M93" s="12" t="str">
        <x:v>server/steam-auth.cjs; desktop/src/com/franchiseguide/desktop/SteamAuth.java; docs/STEAM_SIGN_IN.md</x:v>
      </x:c>
    </x:row>
    <x:row r="94" ht="49" customHeight="1">
      <x:c r="A94" s="13" t="str">
        <x:v>FG-087</x:v>
      </x:c>
      <x:c r="B94" s="13" t="str">
        <x:v>P0</x:v>
      </x:c>
      <x:c r="C94" s="14" t="str">
        <x:v>À valider</x:v>
      </x:c>
      <x:c r="D94" s="11" t="str">
        <x:v>Sécurité</x:v>
      </x:c>
      <x:c r="E94" s="11" t="str">
        <x:v>Toutes</x:v>
      </x:c>
      <x:c r="F94" s="12" t="str">
        <x:v>Exercer les contenus importés et liens non fiables</x:v>
      </x:c>
      <x:c r="G94" s="12" t="str">
        <x:v>Échappements et validations existent à plusieurs frontières. Une revue complète des surfaces dynamiques reste à effectuer.</x:v>
      </x:c>
      <x:c r="H94" s="12" t="str">
        <x:v>Tester HTML hostile, URL dangereuse, prototype pollution, JSON très profond et images importées. Contrôler CSP et navigation externe.</x:v>
      </x:c>
      <x:c r="I94" s="12" t="str">
        <x:v>Aucune exécution de script importé ni navigation dangereuse. Rejet sans corruption ni secret dans l’erreur.</x:v>
      </x:c>
      <x:c r="J94" s="12" t="str">
        <x:v>Aucune</x:v>
      </x:c>
      <x:c r="K94" s="12" t="str">
        <x:v>Non vérifié dans cette passe</x:v>
      </x:c>
      <x:c r="L94" s="15" t="str"/>
      <x:c r="M94" s="12" t="str">
        <x:v>web/core.js; web/app.js; web/import-core.js; web/vercel.json</x:v>
      </x:c>
    </x:row>
    <x:row r="95" ht="49" customHeight="1">
      <x:c r="A95" s="13" t="str">
        <x:v>FG-088</x:v>
      </x:c>
      <x:c r="B95" s="13" t="str">
        <x:v>P1</x:v>
      </x:c>
      <x:c r="C95" s="14" t="str">
        <x:v>À valider</x:v>
      </x:c>
      <x:c r="D95" s="11" t="str">
        <x:v>Qualité</x:v>
      </x:c>
      <x:c r="E95" s="11" t="str">
        <x:v>Toutes</x:v>
      </x:c>
      <x:c r="F95" s="12" t="str">
        <x:v>Mesurer les performances sur bibliothèques représentatives</x:v>
      </x:c>
      <x:c r="G95" s="12" t="str">
        <x:v>Tests fonctionnels et bornes existent. Les budgets de performance ne sont pas établis.</x:v>
      </x:c>
      <x:c r="H95" s="12" t="str">
        <x:v>Mesurer démarrage, recherche, tri, import, statistiques, mémoire et sauvegarde avec corpus petit/moyen/grand sur appareils cibles.</x:v>
      </x:c>
      <x:c r="I95" s="12" t="str">
        <x:v>Résultats chiffrés et budgets définis. Les opérations longues restent annulables et ne bloquent pas durablement l’interface.</x:v>
      </x:c>
      <x:c r="J95" s="12" t="str">
        <x:v>FG-009, FG-021</x:v>
      </x:c>
      <x:c r="K95" s="12" t="str">
        <x:v>Non vérifié dans cette passe</x:v>
      </x:c>
      <x:c r="L95" s="15" t="str"/>
      <x:c r="M95" s="12" t="str">
        <x:v>web/library-ui.js; web/insights-ui.js; app/src/main/java/com/franchiseguide/app/data/AppRepository.kt</x:v>
      </x:c>
    </x:row>
    <x:row r="96" ht="49" customHeight="1">
      <x:c r="A96" s="13" t="str">
        <x:v>FG-089</x:v>
      </x:c>
      <x:c r="B96" s="13" t="str">
        <x:v>P1</x:v>
      </x:c>
      <x:c r="C96" s="14" t="str">
        <x:v>Partiel</x:v>
      </x:c>
      <x:c r="D96" s="11" t="str">
        <x:v>Qualité</x:v>
      </x:c>
      <x:c r="E96" s="11" t="str">
        <x:v>Toutes</x:v>
      </x:c>
      <x:c r="F96" s="12" t="str">
        <x:v>Assainir diagnostics et procédure de signalement</x:v>
      </x:c>
      <x:c r="G96" s="12" t="str">
        <x:v>Diagnostic et journaux de QA existent, sans support opérationnel complet.</x:v>
      </x:c>
      <x:c r="H96" s="12" t="str">
        <x:v>Revoir export de diagnostic, masquer jetons/notes personnelles, joindre version et étapes de reproduction. Définir triage et suivi des incidents.</x:v>
      </x:c>
      <x:c r="I96" s="12" t="str">
        <x:v>Un rapport exploitable n’expose pas de secret ni bibliothèque complète par défaut. Incident relié à la version et au correctif.</x:v>
      </x:c>
      <x:c r="J96" s="12" t="str">
        <x:v>Aucune</x:v>
      </x:c>
      <x:c r="K96" s="12" t="str">
        <x:v>Non vérifié dans cette passe</x:v>
      </x:c>
      <x:c r="L96" s="15" t="str"/>
      <x:c r="M96" s="12" t="str">
        <x:v>web/release.js; docs/SECURITY_AND_DATA.md; docs/QA_REPORT.md</x:v>
      </x:c>
    </x:row>
    <x:row r="97" ht="49" customHeight="1">
      <x:c r="A97" s="13" t="str">
        <x:v>FG-090</x:v>
      </x:c>
      <x:c r="B97" s="13" t="str">
        <x:v>P1</x:v>
      </x:c>
      <x:c r="C97" s="14" t="str">
        <x:v>Partiel</x:v>
      </x:c>
      <x:c r="D97" s="11" t="str">
        <x:v>Livraison</x:v>
      </x:c>
      <x:c r="E97" s="11" t="str">
        <x:v>Toutes</x:v>
      </x:c>
      <x:c r="F97" s="12" t="str">
        <x:v>Inventorier dépendances et licences résolues</x:v>
      </x:c>
      <x:c r="G97" s="12" t="str">
        <x:v>Déclarations de dépendances et lockfile Node présents. Inventaire Android résolu et audit de release incomplets.</x:v>
      </x:c>
      <x:c r="H97" s="12" t="str">
        <x:v>Générer inventaire résolu/SBOM, contrôler licences et vulnérabilités pertinentes, fixer les versions et documenter décisions.</x:v>
      </x:c>
      <x:c r="I97" s="12" t="str">
        <x:v>Liste exacte des composants livrés, avis requis et correctifs nécessaires. Aucun contrôle historique présenté comme audit actuel.</x:v>
      </x:c>
      <x:c r="J97" s="12" t="str">
        <x:v>FG-003, FG-006</x:v>
      </x:c>
      <x:c r="K97" s="12" t="str">
        <x:v>Non vérifié dans cette passe</x:v>
      </x:c>
      <x:c r="L97" s="15" t="str"/>
      <x:c r="M97" s="12" t="str">
        <x:v>docs/DEPENDENCIES_DECLARED.json; docs/THIRD_PARTY_ATTRIBUTION.md; package-lock.json</x:v>
      </x:c>
    </x:row>
    <x:row r="98" ht="49" customHeight="1">
      <x:c r="A98" s="13" t="str">
        <x:v>FG-091</x:v>
      </x:c>
      <x:c r="B98" s="13" t="str">
        <x:v>P1</x:v>
      </x:c>
      <x:c r="C98" s="14" t="str">
        <x:v>À valider</x:v>
      </x:c>
      <x:c r="D98" s="11" t="str">
        <x:v>Livraison</x:v>
      </x:c>
      <x:c r="E98" s="11" t="str">
        <x:v>Toutes</x:v>
      </x:c>
      <x:c r="F98" s="12" t="str">
        <x:v>Valider les conditions d’usage des données et marques</x:v>
      </x:c>
      <x:c r="G98" s="12" t="str">
        <x:v>Notices historiques et limites commerciales existent. Elles ne constituent pas une autorisation actuelle pour une offre précise.</x:v>
      </x:c>
      <x:c r="H98" s="12" t="str">
        <x:v>Définir le canal et l’offre, revoir conditions applicables des fournisseurs, images, attributions et marques, puis résoudre les points bloquants.</x:v>
      </x:c>
      <x:c r="I98" s="12" t="str">
        <x:v>Périmètre de distribution documenté avec permissions et notices nécessaires. Promesse produit cohérente avec les accès obtenus.</x:v>
      </x:c>
      <x:c r="J98" s="12" t="str">
        <x:v>Aucune</x:v>
      </x:c>
      <x:c r="K98" s="12" t="str">
        <x:v>Non vérifié dans cette passe</x:v>
      </x:c>
      <x:c r="L98" s="15" t="str"/>
      <x:c r="M98" s="12" t="str">
        <x:v>docs/COMMERCIAL_READINESS.md; docs/THIRD_PARTY_ATTRIBUTION.md; UPSTREAM_NOTICE.md; LICENSE</x:v>
      </x:c>
    </x:row>
    <x:row r="99" ht="49" customHeight="1">
      <x:c r="A99" s="13" t="str">
        <x:v>FG-092</x:v>
      </x:c>
      <x:c r="B99" s="13" t="str">
        <x:v>P1</x:v>
      </x:c>
      <x:c r="C99" s="14" t="str">
        <x:v>Partiel</x:v>
      </x:c>
      <x:c r="D99" s="11" t="str">
        <x:v>Livraison</x:v>
      </x:c>
      <x:c r="E99" s="11" t="str">
        <x:v>Toutes</x:v>
      </x:c>
      <x:c r="F99" s="12" t="str">
        <x:v>Rédiger les informations de confidentialité de l’offre réelle</x:v>
      </x:c>
      <x:c r="G99" s="12" t="str">
        <x:v>Une notice technique décrit le traitement local. L’éditeur et un éventuel service cloud restent à définir.</x:v>
      </x:c>
      <x:c r="H99" s="12" t="str">
        <x:v>Actualiser destinataires, données, durées, contacts, contrôle utilisateur et déclarations de distribution selon le produit réellement livré.</x:v>
      </x:c>
      <x:c r="I99" s="12" t="str">
        <x:v>Texte cohérent avec l’application et le backend effectivement activés. Aucun suivi ajouté sans visibilité ni choix requis.</x:v>
      </x:c>
      <x:c r="J99" s="12" t="str">
        <x:v>Aucune</x:v>
      </x:c>
      <x:c r="K99" s="12" t="str">
        <x:v>Non vérifié dans cette passe</x:v>
      </x:c>
      <x:c r="L99" s="15" t="str"/>
      <x:c r="M99" s="12" t="str">
        <x:v>docs/PRIVACY_TECHNICAL.md; docs/RELEASE_GATES.json</x:v>
      </x:c>
    </x:row>
    <x:row r="100" ht="49" customHeight="1">
      <x:c r="A100" s="13" t="str">
        <x:v>FG-093</x:v>
      </x:c>
      <x:c r="B100" s="13" t="str">
        <x:v>P1</x:v>
      </x:c>
      <x:c r="C100" s="14" t="str">
        <x:v>À développer</x:v>
      </x:c>
      <x:c r="D100" s="11" t="str">
        <x:v>Android</x:v>
      </x:c>
      <x:c r="E100" s="11" t="str">
        <x:v>Android</x:v>
      </x:c>
      <x:c r="F100" s="12" t="str">
        <x:v>Produire et qualifier une distribution Android signée</x:v>
      </x:c>
      <x:c r="G100" s="12" t="str">
        <x:v>La base contient des sources, pas d’APK/AAB release signé ni de qualification magasin.</x:v>
      </x:c>
      <x:c r="H100" s="12" t="str">
        <x:v>Après build et recette, établir signature sécurisée, variantes de distribution, mises à jour et dossier de publication.</x:v>
      </x:c>
      <x:c r="I100" s="12" t="str">
        <x:v>Paquet signé installable et mise à jour sans perte de données. Clés hors dépôt et chaîne de publication reproductible.</x:v>
      </x:c>
      <x:c r="J100" s="12" t="str">
        <x:v>FG-003, FG-009, FG-090, FG-091</x:v>
      </x:c>
      <x:c r="K100" s="12" t="str">
        <x:v>Non vérifié dans cette passe</x:v>
      </x:c>
      <x:c r="L100" s="15" t="str"/>
      <x:c r="M100" s="12" t="str">
        <x:v>app/build.gradle.kts; docs/ANDROID_BUILD.md; docs/RELEASE_GATES.json</x:v>
      </x:c>
    </x:row>
    <x:row r="101" ht="88" customHeight="1">
      <x:c r="A101" s="13" t="str">
        <x:v>FG-094</x:v>
      </x:c>
      <x:c r="B101" s="13" t="str">
        <x:v>P0</x:v>
      </x:c>
      <x:c r="C101" s="14" t="str">
        <x:v>Partiel</x:v>
      </x:c>
      <x:c r="D101" s="11" t="str">
        <x:v>Qualité</x:v>
      </x:c>
      <x:c r="E101" s="11" t="str">
        <x:v>Toutes</x:v>
      </x:c>
      <x:c r="F101" s="12" t="str">
        <x:v>Exécuter une recette de version complète</x:v>
      </x:c>
      <x:c r="G101" s="12" t="str">
        <x:v>Cette passe réexécute les tests disponibles et ajoute une origine réelle Chrome. La recette comptes réels, appareils natifs et navigateurs multiples reste ouverte.</x:v>
      </x:c>
      <x:c r="H101" s="12" t="str">
        <x:v>Définir matrice navigateur/OS/appareil et scénarios utilisateur, exécuter les régressions de la version finale, enregistrer réussites et exclusions réelles.</x:v>
      </x:c>
      <x:c r="I101" s="12" t="str">
        <x:v>Aucun groupe manquant compté réussi. Les problèmes bloquants restent ouverts dans le suivi avant annonce de disponibilité.</x:v>
      </x:c>
      <x:c r="J101" s="12" t="str">
        <x:v>FG-002, FG-003, FG-021, FG-082</x:v>
      </x:c>
      <x:c r="K101" s="12" t="str">
        <x:v>Node : 1 580/1 580, 0 échec/ignoré. Structure : 216. Passerelles Java : 353 assertions. Navigateurs : 22/22 sur Chrome 156 et ChromeHeadlessShell 151. Kotlin check-in : 33 assertions + parité. SDK/APK/lint réussis localement et en CI ; JUnit Android NO-SOURCE. Trois jobs de la CI finale 40403868550 réussis.</x:v>
      </x:c>
      <x:c r="L101" s="15" t="str"/>
      <x:c r="M101" s="12" t="str">
        <x:v>docs/QA_REPORT.md; tests/browser-origin.cjs; tools/validate_project.py; docs/RELEASE_GATES.json; docs/qa/current.json</x:v>
      </x:c>
    </x:row>
    <x:row r="102" ht="49" customHeight="1">
      <x:c r="A102" s="13" t="str">
        <x:v>FG-095</x:v>
      </x:c>
      <x:c r="B102" s="13" t="str">
        <x:v>P0</x:v>
      </x:c>
      <x:c r="C102" s="14" t="str">
        <x:v>Terminé</x:v>
      </x:c>
      <x:c r="D102" s="11" t="str">
        <x:v>Sécurité</x:v>
      </x:c>
      <x:c r="E102" s="11" t="str">
        <x:v>Web / PC</x:v>
      </x:c>
      <x:c r="F102" s="12" t="str">
        <x:v>Masquer les secrets même lorsqu’un JSON les échappe</x:v>
      </x:c>
      <x:c r="G102" s="12" t="str">
        <x:v>Correctif appliqué aux passerelles Node et Java. Des séquences Unicode dans le JSON ne contournent plus le masquage.</x:v>
      </x:c>
      <x:c r="H102" s="12" t="str">
        <x:v>Décoder le JSON avant nettoyage récursif des clés/valeurs puis sérialiser strictement. Conserver les jetons utilisateur requis par le flux OAuth.</x:v>
      </x:c>
      <x:c r="I102" s="12" t="str">
        <x:v>Secrets d’application absents des réponses, y compris dans clés et objets imbriqués. JSON et jetons utilisateur restent valides.</x:v>
      </x:c>
      <x:c r="J102" s="12" t="str">
        <x:v>Aucune</x:v>
      </x:c>
      <x:c r="K102" s="12" t="str">
        <x:v>Suite serveur ciblée : 204 tests Node réussis. Java17 : 353 assertions réussies. HTTP local et fournisseurs simulés, sans compte réel.</x:v>
      </x:c>
      <x:c r="L102" s="15" t="str"/>
      <x:c r="M102" s="12" t="str">
        <x:v>server/auto-services.cjs; desktop/src/com/franchiseguide/desktop/AutoServices.java; tests/auto-services.test.cjs; tests/AutoServicesTest.java</x:v>
      </x:c>
    </x:row>
    <x:row r="103" ht="49" customHeight="1">
      <x:c r="A103" s="13" t="str">
        <x:v>FG-096</x:v>
      </x:c>
      <x:c r="B103" s="13" t="str">
        <x:v>P0</x:v>
      </x:c>
      <x:c r="C103" s="14" t="str">
        <x:v>Terminé</x:v>
      </x:c>
      <x:c r="D103" s="11" t="str">
        <x:v>Sécurité</x:v>
      </x:c>
      <x:c r="E103" s="11" t="str">
        <x:v>Web / PC</x:v>
      </x:c>
      <x:c r="F103" s="12" t="str">
        <x:v>Respecter le délai fournisseur après réponse 429</x:v>
      </x:c>
      <x:c r="G103" s="12" t="str">
        <x:v>Retry-After invalide déclenche désormais le défaut de 60 s. La latence réseau ne raccourcit plus l’attente et une réponse concurrente ne la réduit pas.</x:v>
      </x:c>
      <x:c r="H103" s="12" t="str">
        <x:v>Calculer la reprise à réception de réponse, conserver l’échéance la plus longue et traiter absence/valeur invalide de Retry-After.</x:v>
      </x:c>
      <x:c r="I103" s="12" t="str">
        <x:v>Une réponse reçue après 25 s avec attente 60 s bloque encore 60 s. Aucun nouvel appel pendant le délai et reprise après échéance.</x:v>
      </x:c>
      <x:c r="J103" s="12" t="str">
        <x:v>Aucune</x:v>
      </x:c>
      <x:c r="K103" s="12" t="str">
        <x:v>Suite serveur ciblée : 204 tests Node réussis. Java17 : 353 assertions réussies. HTTP local et fournisseurs simulés, sans compte réel.</x:v>
      </x:c>
      <x:c r="L103" s="15" t="str"/>
      <x:c r="M103" s="12" t="str">
        <x:v>server/auto-services.cjs; desktop/src/com/franchiseguide/desktop/AutoServices.java; tests/auto-services.test.cjs; tests/AutoServicesTest.java</x:v>
      </x:c>
    </x:row>
    <x:row r="104" ht="49" customHeight="1">
      <x:c r="A104" s="13" t="str">
        <x:v>FG-097</x:v>
      </x:c>
      <x:c r="B104" s="13" t="str">
        <x:v>P0</x:v>
      </x:c>
      <x:c r="C104" s="14" t="str">
        <x:v>Terminé</x:v>
      </x:c>
      <x:c r="D104" s="11" t="str">
        <x:v>Sécurité</x:v>
      </x:c>
      <x:c r="E104" s="11" t="str">
        <x:v>Web / PC</x:v>
      </x:c>
      <x:c r="F104" s="12" t="str">
        <x:v>Refuser les en-têtes de sécurité dupliqués</x:v>
      </x:c>
      <x:c r="G104" s="12" t="str">
        <x:v>Les requêtes avec Host ou en-têtes de sécurité ambigus sont refusées par les canaux Node et PC.</x:v>
      </x:c>
      <x:c r="H104" s="12" t="str">
        <x:v>Vérifier les occurrences d’en-têtes avant routage et accès fournisseur. Couvrir les combinaisons same-origin/cross-site.</x:v>
      </x:c>
      <x:c r="I104" s="12" t="str">
        <x:v>403 avant lecture distante pour une requête ambiguë. Une requête valide reste acceptée.</x:v>
      </x:c>
      <x:c r="J104" s="12" t="str">
        <x:v>Aucune</x:v>
      </x:c>
      <x:c r="K104" s="12" t="str">
        <x:v>Suite serveur ciblée : 204 tests Node réussis. Java17 : 353 assertions réussies. HTTP local et fournisseurs simulés, sans compte réel.</x:v>
      </x:c>
      <x:c r="L104" s="15" t="str"/>
      <x:c r="M104" s="12" t="str">
        <x:v>server/start.cjs; server/steam-bridge.cjs; desktop/src/com/franchiseguide/desktop/Main.java; tests/web-local-server.test.cjs; tests/SteamBridgeTest.java</x:v>
      </x:c>
    </x:row>
    <x:row r="105" ht="49" customHeight="1">
      <x:c r="A105" s="13" t="str">
        <x:v>FG-098</x:v>
      </x:c>
      <x:c r="B105" s="13" t="str">
        <x:v>P0</x:v>
      </x:c>
      <x:c r="C105" s="14" t="str">
        <x:v>Terminé</x:v>
      </x:c>
      <x:c r="D105" s="11" t="str">
        <x:v>Sécurité</x:v>
      </x:c>
      <x:c r="E105" s="11" t="str">
        <x:v>Web / PC</x:v>
      </x:c>
      <x:c r="F105" s="12" t="str">
        <x:v>Valider les réponses et destinations Steam avant cache</x:v>
      </x:c>
      <x:c r="G105" s="12" t="str">
        <x:v>Décodage UTF-8 strict, destination HTTPS canonique et validation JSON PC ajoutés. Réponse malformée non mémorisée.</x:v>
      </x:c>
      <x:c r="H105" s="12" t="str">
        <x:v>Refuser ports inattendus, userinfo et fragment. Valider le JSON avant cache, puis masquer également une clé échappée.</x:v>
      </x:c>
      <x:c r="I105" s="12" t="str">
        <x:v>Corps invalide ou destination détournée rejetés sans corruption de cache ni fuite de clé. Lecture ultérieure saine possible.</x:v>
      </x:c>
      <x:c r="J105" s="12" t="str">
        <x:v>Aucune</x:v>
      </x:c>
      <x:c r="K105" s="12" t="str">
        <x:v>Suite serveur ciblée : 204 tests Node réussis. Java17 : 353 assertions réussies. HTTP local et fournisseurs simulés, sans compte réel.</x:v>
      </x:c>
      <x:c r="L105" s="15" t="str"/>
      <x:c r="M105" s="12" t="str">
        <x:v>server/steam-bridge.cjs; desktop/src/com/franchiseguide/desktop/SteamBridge.java; tests/steam-bridge.test.cjs; tests/SteamBridgeTest.java</x:v>
      </x:c>
    </x:row>
    <x:row r="106" ht="49" customHeight="1">
      <x:c r="A106" s="13" t="str">
        <x:v>FG-099</x:v>
      </x:c>
      <x:c r="B106" s="13" t="str">
        <x:v>P2</x:v>
      </x:c>
      <x:c r="C106" s="14" t="str">
        <x:v>Partiel</x:v>
      </x:c>
      <x:c r="D106" s="11" t="str">
        <x:v>Sécurité</x:v>
      </x:c>
      <x:c r="E106" s="11" t="str">
        <x:v>Web / PC</x:v>
      </x:c>
      <x:c r="F106" s="12" t="str">
        <x:v>Regrouper les lectures Steam simultanées sur PC</x:v>
      </x:c>
      <x:c r="G106" s="12" t="str">
        <x:v>La passerelle Node regroupe déjà des requêtes identiques. Le canal Java PC ne possède pas encore le même regroupement.</x:v>
      </x:c>
      <x:c r="H106" s="12" t="str">
        <x:v>Partager une requête en cours par clé complète de lecture, nettoyer à la fin/erreur et préserver limites et contexte de compte.</x:v>
      </x:c>
      <x:c r="I106" s="12" t="str">
        <x:v>Deux lectures identiques simultanées ne déclenchent qu’un appel fournisseur. Comptes et paramètres différents restent isolés.</x:v>
      </x:c>
      <x:c r="J106" s="12" t="str">
        <x:v>Aucune</x:v>
      </x:c>
      <x:c r="K106" s="12" t="str">
        <x:v>Écart identifié lors de l’audit serveur. Implémentation et recette PC à faire.</x:v>
      </x:c>
      <x:c r="L106" s="15" t="str"/>
      <x:c r="M106" s="12" t="str">
        <x:v>server/steam-bridge.cjs; desktop/src/com/franchiseguide/desktop/SteamBridge.java</x:v>
      </x:c>
    </x:row>
    <x:row r="107" ht="62" customHeight="1">
      <x:c r="A107" s="13" t="str">
        <x:v>FG-100</x:v>
      </x:c>
      <x:c r="B107" s="13" t="str">
        <x:v>P0</x:v>
      </x:c>
      <x:c r="C107" s="14" t="str">
        <x:v>Terminé</x:v>
      </x:c>
      <x:c r="D107" s="11" t="str">
        <x:v>Trakt</x:v>
      </x:c>
      <x:c r="E107" s="11" t="str">
        <x:v>Web / PC</x:v>
      </x:c>
      <x:c r="F107" s="12" t="str">
        <x:v>Exiger un acquittement d’historique Trakt exploitable</x:v>
      </x:c>
      <x:c r="G107" s="12" t="str">
        <x:v>Un acquittement zéro, multiple ou incohérent est désormais refusé. Le suivi local n’est plus avancé sur une fausse réussite.</x:v>
      </x:c>
      <x:c r="H107" s="12" t="str">
        <x:v>Valider un seul élément reconnu dans la réponse d’écriture et conserver la session incertaine en cas d’ambiguïté.</x:v>
      </x:c>
      <x:c r="I107" s="12" t="str">
        <x:v>Une réponse added=0 ne marque rien vu. Seul un acquittement cohérent d’une action applique le suivi local.</x:v>
      </x:c>
      <x:c r="J107" s="12" t="str">
        <x:v>Aucune</x:v>
      </x:c>
      <x:c r="K107" s="12" t="str">
        <x:v>Web : reprise V0.36 33/33, check-in V0.35 23/23. Kotlin/JVM : 33 assertions et parité JS/Kotlin réussies. Fournisseurs simulés. Compte réel et appareil non testés.</x:v>
      </x:c>
      <x:c r="L107" s="15" t="str"/>
      <x:c r="M107" s="12" t="str">
        <x:v>web/trakt-checkin-core.js; web/trakt-checkin-ui.js; tests/checkin-recovery-v036.test.cjs; tests/checkin-v035.test.cjs</x:v>
      </x:c>
    </x:row>
    <x:row r="108" ht="62" customHeight="1">
      <x:c r="A108" s="13" t="str">
        <x:v>FG-101</x:v>
      </x:c>
      <x:c r="B108" s="13" t="str">
        <x:v>P0</x:v>
      </x:c>
      <x:c r="C108" s="14" t="str">
        <x:v>Terminé</x:v>
      </x:c>
      <x:c r="D108" s="11" t="str">
        <x:v>Trakt</x:v>
      </x:c>
      <x:c r="E108" s="11" t="str">
        <x:v>Web / PC</x:v>
      </x:c>
      <x:c r="F108" s="12" t="str">
        <x:v>Reprendre une fin de check-in sans répéter le POST</x:v>
      </x:c>
      <x:c r="G108" s="12" t="str">
        <x:v>Une fin incertaine ou reprise après persistance consulte l’historique au lieu de réémettre l’écriture.</x:v>
      </x:c>
      <x:c r="H108" s="12" t="str">
        <x:v>Distinguer première fin explicite et vérification d’une fin déjà tentée. Rapprocher une lecture distante avant de confirmer localement.</x:v>
      </x:c>
      <x:c r="I108" s="12" t="str">
        <x:v>Un clic répété ou rechargement après réponse perdue ne produit pas une seconde requête d’ajout d’historique.</x:v>
      </x:c>
      <x:c r="J108" s="12" t="str">
        <x:v>Aucune</x:v>
      </x:c>
      <x:c r="K108" s="12" t="str">
        <x:v>Web : reprise V0.36 33/33, check-in V0.35 23/23. Kotlin/JVM : 33 assertions et parité JS/Kotlin réussies. Fournisseurs simulés. Compte réel et appareil non testés.</x:v>
      </x:c>
      <x:c r="L108" s="15" t="str"/>
      <x:c r="M108" s="12" t="str">
        <x:v>web/trakt-checkin-core.js; web/trakt-checkin-ui.js; tests/checkin-recovery-v036.test.cjs</x:v>
      </x:c>
    </x:row>
    <x:row r="109" ht="62" customHeight="1">
      <x:c r="A109" s="13" t="str">
        <x:v>FG-102</x:v>
      </x:c>
      <x:c r="B109" s="13" t="str">
        <x:v>P0</x:v>
      </x:c>
      <x:c r="C109" s="14" t="str">
        <x:v>Terminé</x:v>
      </x:c>
      <x:c r="D109" s="11" t="str">
        <x:v>Trakt</x:v>
      </x:c>
      <x:c r="E109" s="11" t="str">
        <x:v>Web / PC</x:v>
      </x:c>
      <x:c r="F109" s="12" t="str">
        <x:v>Bloquer l’envoi si la session n’est pas persistée</x:v>
      </x:c>
      <x:c r="G109" s="12" t="str">
        <x:v>L’échec de persistance avant requête bloque l’envoi Web. La session corrompue est conservée. En source Android, JSONObject.NULL est restauré comme null pour appRef/parentId/code/lastError, au lieu de la chaîne « null ».</x:v>
      </x:c>
      <x:c r="H109" s="12" t="str">
        <x:v>Vérifier la persistance, conserver la donnée brute illisible et exposer la récupération sans remplacement silencieux.</x:v>
      </x:c>
      <x:c r="I109" s="12" t="str">
        <x:v>Quota refusé : aucun appel distant. Session invalide : aucun reset automatique ni nouvelle session écrasant la référence.</x:v>
      </x:c>
      <x:c r="J109" s="12" t="str">
        <x:v>Aucune</x:v>
      </x:c>
      <x:c r="K109" s="12" t="str">
        <x:v>Web : reprise 33/33 et check-in 23/23. Kotlin/JVM règles : 33 assertions et parité réussies. Codec nullable Android corrigé et compilé, sans test de lecture JSON natif ni essai appareil.</x:v>
      </x:c>
      <x:c r="L109" s="15" t="str"/>
      <x:c r="M109" s="12" t="str">
        <x:v>web/trakt-checkin-ui.js; tests/checkin-recovery-v036.test.cjs; app/src/main/java/com/franchiseguide/app/data/AppRepository.kt</x:v>
      </x:c>
    </x:row>
    <x:row r="110" ht="62" customHeight="1">
      <x:c r="A110" s="13" t="str">
        <x:v>FG-103</x:v>
      </x:c>
      <x:c r="B110" s="13" t="str">
        <x:v>P0</x:v>
      </x:c>
      <x:c r="C110" s="14" t="str">
        <x:v>Terminé</x:v>
      </x:c>
      <x:c r="D110" s="11" t="str">
        <x:v>Trakt</x:v>
      </x:c>
      <x:c r="E110" s="11" t="str">
        <x:v>Web / PC</x:v>
      </x:c>
      <x:c r="F110" s="12" t="str">
        <x:v>Revalider compte et bibliothèque avant toute reprise</x:v>
      </x:c>
      <x:c r="G110" s="12" t="str">
        <x:v>Nettoyage, réponses tardives et reprise sont bornés à leur contexte. Check-in et synchronisation ne se chevauchent plus librement.</x:v>
      </x:c>
      <x:c r="H110" s="12" t="str">
        <x:v>Contrôler compte, application, session et génération aux retours réseau. Refuser les conflits avec la file d’historique ou le mode lecture seule.</x:v>
      </x:c>
      <x:c r="I110" s="12" t="str">
        <x:v>Une réponse de l’ancien compte n’applique ni suivi ni nettoyage au nouveau. Aucune opération concurrente conflictuelle envoyée.</x:v>
      </x:c>
      <x:c r="J110" s="12" t="str">
        <x:v>Aucune</x:v>
      </x:c>
      <x:c r="K110" s="12" t="str">
        <x:v>Web : reprise V0.36 33/33, check-in V0.35 23/23. Kotlin/JVM : 33 assertions et parité JS/Kotlin réussies. Fournisseurs simulés. Compte réel et appareil non testés.</x:v>
      </x:c>
      <x:c r="L110" s="15" t="str"/>
      <x:c r="M110" s="12" t="str">
        <x:v>web/trakt-checkin-ui.js; web/trakt.js; tests/checkin-recovery-v036.test.cjs</x:v>
      </x:c>
    </x:row>
  </x:sheetData>
  <x:conditionalFormatting sqref="C8:C1000">
    <x:cfRule type="cellIs" dxfId="0" priority="1" operator="equal">
      <x:formula>"À développer"</x:formula>
    </x:cfRule>
    <x:cfRule type="cellIs" dxfId="1" priority="2" operator="equal">
      <x:formula>"Partiel"</x:formula>
    </x:cfRule>
    <x:cfRule type="cellIs" dxfId="2" priority="3" operator="equal">
      <x:formula>"À valider"</x:formula>
    </x:cfRule>
    <x:cfRule type="cellIs" dxfId="3" priority="4" operator="equal">
      <x:formula>"Terminé"</x:formula>
    </x:cfRule>
  </x:conditionalFormatting>
  <x:conditionalFormatting sqref="B8:B1000">
    <x:cfRule type="cellIs" dxfId="4" priority="5" operator="equal">
      <x:formula>"P0"</x:formula>
    </x:cfRule>
    <x:cfRule type="cellIs" dxfId="5" priority="6" operator="equal">
      <x:formula>"P1"</x:formula>
    </x:cfRule>
  </x:conditionalFormatting>
  <x:dataValidations count="3">
    <x:dataValidation type="list" sqref="C8:C1000">
      <x:formula1>"À développer,Partiel,À valider,Terminé"</x:formula1>
    </x:dataValidation>
    <x:dataValidation type="list" sqref="B8:B1000">
      <x:formula1>"P0,P1,P2"</x:formula1>
    </x:dataValidation>
    <x:dataValidation type="list" sqref="D8:D1000">
      <x:formula1>"Livraison,Android,Web et PWA,Interface,Trakt,Données,Catalogues,Jeux et succès,Livres et franchises,Cloud,PC,Sécurité,Qualité"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3a3b6da1f340ec"/>
  </x:tableParts>
</x:worksheet>
</file>